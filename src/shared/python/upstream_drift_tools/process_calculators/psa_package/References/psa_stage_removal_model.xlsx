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te\Dropbox\Work\_Topics\PSA Operations\"/>
    </mc:Choice>
  </mc:AlternateContent>
  <xr:revisionPtr revIDLastSave="0" documentId="13_ncr:1_{754617B4-0912-48C2-95F5-A42D9A01F27F}" xr6:coauthVersionLast="47" xr6:coauthVersionMax="47" xr10:uidLastSave="{00000000-0000-0000-0000-000000000000}"/>
  <bookViews>
    <workbookView xWindow="67080" yWindow="-15510" windowWidth="29040" windowHeight="15720" xr2:uid="{00000000-000D-0000-FFFF-FFFF00000000}"/>
  </bookViews>
  <sheets>
    <sheet name="PSA Model" sheetId="2" r:id="rId1"/>
    <sheet name="PFD" sheetId="5" r:id="rId2"/>
    <sheet name="Sensitivity" sheetId="4" r:id="rId3"/>
    <sheet name="O2 Safety Analysis" sheetId="6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C8" i="6"/>
  <c r="C7" i="6"/>
  <c r="C6" i="6"/>
  <c r="B23" i="2"/>
  <c r="E23" i="2" s="1"/>
  <c r="B22" i="2"/>
  <c r="B21" i="2"/>
  <c r="B20" i="2"/>
  <c r="B19" i="2"/>
  <c r="B18" i="2"/>
  <c r="E18" i="2" s="1"/>
  <c r="B17" i="2"/>
  <c r="C18" i="4"/>
  <c r="E18" i="4" s="1"/>
  <c r="C17" i="4"/>
  <c r="E17" i="4" s="1"/>
  <c r="C16" i="4"/>
  <c r="E16" i="4" s="1"/>
  <c r="C15" i="4"/>
  <c r="E15" i="4" s="1"/>
  <c r="C14" i="4"/>
  <c r="E14" i="4" s="1"/>
  <c r="C13" i="4"/>
  <c r="E13" i="4" s="1"/>
  <c r="C12" i="4"/>
  <c r="E12" i="4" s="1"/>
  <c r="C11" i="4"/>
  <c r="E11" i="4" s="1"/>
  <c r="C10" i="4"/>
  <c r="E10" i="4" s="1"/>
  <c r="C9" i="4"/>
  <c r="E9" i="4" s="1"/>
  <c r="B6" i="4"/>
  <c r="B5" i="4"/>
  <c r="O6" i="2"/>
  <c r="E22" i="2"/>
  <c r="E21" i="2"/>
  <c r="E20" i="2"/>
  <c r="E19" i="2"/>
  <c r="E17" i="2"/>
  <c r="B24" i="2" l="1"/>
  <c r="F20" i="2"/>
  <c r="F18" i="2"/>
  <c r="F22" i="2"/>
  <c r="F17" i="2"/>
  <c r="F21" i="2"/>
  <c r="F23" i="2"/>
  <c r="E24" i="2"/>
  <c r="B30" i="2" l="1"/>
  <c r="B29" i="2"/>
  <c r="B32" i="2"/>
  <c r="B33" i="2"/>
  <c r="B31" i="2"/>
  <c r="B34" i="2"/>
  <c r="B28" i="2"/>
  <c r="H17" i="2"/>
  <c r="E30" i="2"/>
  <c r="E31" i="2"/>
  <c r="E32" i="2"/>
  <c r="E28" i="2"/>
  <c r="E34" i="2"/>
  <c r="E33" i="2"/>
  <c r="E29" i="2"/>
  <c r="F19" i="2"/>
  <c r="H21" i="2"/>
  <c r="J17" i="2"/>
  <c r="H22" i="2"/>
  <c r="H18" i="2"/>
  <c r="H23" i="2"/>
  <c r="H20" i="2"/>
  <c r="E38" i="2" l="1"/>
  <c r="B38" i="2"/>
  <c r="B35" i="2"/>
  <c r="E35" i="2"/>
  <c r="C17" i="2"/>
  <c r="G17" i="2"/>
  <c r="F24" i="2"/>
  <c r="O8" i="2" s="1"/>
  <c r="I17" i="2"/>
  <c r="H19" i="2"/>
  <c r="J22" i="2"/>
  <c r="C22" i="2" s="1"/>
  <c r="J21" i="2"/>
  <c r="J20" i="2"/>
  <c r="J23" i="2"/>
  <c r="J18" i="2"/>
  <c r="I18" i="2" l="1"/>
  <c r="D18" i="2" s="1"/>
  <c r="G18" i="2"/>
  <c r="C18" i="2"/>
  <c r="I23" i="2"/>
  <c r="K23" i="2" s="1"/>
  <c r="G23" i="2"/>
  <c r="C23" i="2"/>
  <c r="G20" i="2"/>
  <c r="C20" i="2"/>
  <c r="I21" i="2"/>
  <c r="G21" i="2"/>
  <c r="C21" i="2"/>
  <c r="G22" i="2"/>
  <c r="K21" i="2"/>
  <c r="D21" i="2"/>
  <c r="I20" i="2"/>
  <c r="I22" i="2"/>
  <c r="J19" i="2"/>
  <c r="H24" i="2"/>
  <c r="K17" i="2"/>
  <c r="O4" i="2" s="1"/>
  <c r="F32" i="2"/>
  <c r="F33" i="2"/>
  <c r="F29" i="2"/>
  <c r="F34" i="2"/>
  <c r="F30" i="2"/>
  <c r="F28" i="2"/>
  <c r="F31" i="2"/>
  <c r="D17" i="2"/>
  <c r="F35" i="2" l="1"/>
  <c r="F38" i="2"/>
  <c r="D23" i="2"/>
  <c r="L17" i="2"/>
  <c r="K18" i="2"/>
  <c r="L18" i="2" s="1"/>
  <c r="L23" i="2"/>
  <c r="J24" i="2"/>
  <c r="J34" i="2" s="1"/>
  <c r="C19" i="2"/>
  <c r="G19" i="2"/>
  <c r="L21" i="2"/>
  <c r="C24" i="2"/>
  <c r="K20" i="2"/>
  <c r="L20" i="2" s="1"/>
  <c r="D20" i="2"/>
  <c r="H32" i="2"/>
  <c r="H29" i="2"/>
  <c r="H30" i="2"/>
  <c r="H28" i="2"/>
  <c r="H34" i="2"/>
  <c r="H33" i="2"/>
  <c r="H31" i="2"/>
  <c r="I19" i="2"/>
  <c r="K22" i="2"/>
  <c r="L22" i="2" s="1"/>
  <c r="D22" i="2"/>
  <c r="H38" i="2" l="1"/>
  <c r="H35" i="2"/>
  <c r="J33" i="2"/>
  <c r="J31" i="2"/>
  <c r="J32" i="2"/>
  <c r="J29" i="2"/>
  <c r="J28" i="2"/>
  <c r="J30" i="2"/>
  <c r="C29" i="2"/>
  <c r="C34" i="2"/>
  <c r="C30" i="2"/>
  <c r="C33" i="2"/>
  <c r="C32" i="2"/>
  <c r="C28" i="2"/>
  <c r="C31" i="2"/>
  <c r="G24" i="2"/>
  <c r="O9" i="2" s="1"/>
  <c r="K19" i="2"/>
  <c r="L19" i="2" s="1"/>
  <c r="D19" i="2"/>
  <c r="D24" i="2" s="1"/>
  <c r="I24" i="2"/>
  <c r="C35" i="2" l="1"/>
  <c r="O41" i="2"/>
  <c r="J35" i="2"/>
  <c r="F18" i="4"/>
  <c r="F14" i="4"/>
  <c r="F13" i="4"/>
  <c r="F12" i="4"/>
  <c r="F11" i="4"/>
  <c r="F10" i="4"/>
  <c r="F17" i="4"/>
  <c r="F9" i="4"/>
  <c r="F16" i="4"/>
  <c r="F15" i="4"/>
  <c r="C38" i="2"/>
  <c r="O42" i="2"/>
  <c r="J38" i="2"/>
  <c r="O43" i="2" s="1"/>
  <c r="G32" i="2"/>
  <c r="G30" i="2"/>
  <c r="G33" i="2"/>
  <c r="G29" i="2"/>
  <c r="G34" i="2"/>
  <c r="G28" i="2"/>
  <c r="G31" i="2"/>
  <c r="I31" i="2"/>
  <c r="I33" i="2"/>
  <c r="I38" i="2" s="1"/>
  <c r="I34" i="2"/>
  <c r="I32" i="2"/>
  <c r="I30" i="2"/>
  <c r="I28" i="2"/>
  <c r="I29" i="2"/>
  <c r="D32" i="2"/>
  <c r="D29" i="2"/>
  <c r="D30" i="2"/>
  <c r="D28" i="2"/>
  <c r="D34" i="2"/>
  <c r="D31" i="2"/>
  <c r="D33" i="2"/>
  <c r="D38" i="2" s="1"/>
  <c r="K24" i="2"/>
  <c r="L24" i="2" s="1"/>
  <c r="D35" i="2" l="1"/>
  <c r="I35" i="2"/>
  <c r="G35" i="2"/>
  <c r="G38" i="2"/>
  <c r="O10" i="2"/>
  <c r="O7" i="2"/>
  <c r="K34" i="2"/>
  <c r="K32" i="2"/>
  <c r="K30" i="2"/>
  <c r="K28" i="2"/>
  <c r="K33" i="2"/>
  <c r="K38" i="2" s="1"/>
  <c r="K31" i="2"/>
  <c r="K29" i="2"/>
  <c r="K35" i="2" l="1"/>
  <c r="O5" i="2"/>
  <c r="D18" i="4"/>
  <c r="D9" i="4"/>
  <c r="D17" i="4"/>
  <c r="D15" i="4"/>
  <c r="D14" i="4"/>
  <c r="D13" i="4"/>
  <c r="D12" i="4"/>
  <c r="D11" i="4"/>
  <c r="D10" i="4"/>
  <c r="D16" i="4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<sst xmlns="http://schemas.openxmlformats.org/spreadsheetml/2006/main" count="179" uniqueCount="136">
  <si>
    <t>Component</t>
  </si>
  <si>
    <t>Feed %</t>
  </si>
  <si>
    <t>Stage 1 Removal %</t>
  </si>
  <si>
    <t>Stage 2 Removal %</t>
  </si>
  <si>
    <t>H2</t>
  </si>
  <si>
    <t>CO</t>
  </si>
  <si>
    <t>CO2</t>
  </si>
  <si>
    <t>H2O</t>
  </si>
  <si>
    <t>N2</t>
  </si>
  <si>
    <t>O2</t>
  </si>
  <si>
    <t>CH4</t>
  </si>
  <si>
    <t>1 Fresh Feed</t>
  </si>
  <si>
    <t>5A Mixed Feed</t>
  </si>
  <si>
    <t>6 Interstage</t>
  </si>
  <si>
    <t>Stage 2 Tail</t>
  </si>
  <si>
    <t>2 Exhaust</t>
  </si>
  <si>
    <t>TWO-STAGE PSA MODEL</t>
  </si>
  <si>
    <t>INPUTS</t>
  </si>
  <si>
    <t>Total Feed (SCFM):</t>
  </si>
  <si>
    <t>Product Recycle Frac:</t>
  </si>
  <si>
    <t>MASS BALANCE (SCFM)</t>
  </si>
  <si>
    <t>3R Prod Recycle</t>
  </si>
  <si>
    <t>3G Gross Prod</t>
  </si>
  <si>
    <t>3N Net Prod</t>
  </si>
  <si>
    <t>Check</t>
  </si>
  <si>
    <t>Total</t>
  </si>
  <si>
    <t>COMPOSITION (%)</t>
  </si>
  <si>
    <t>LEGEND</t>
  </si>
  <si>
    <t>Input cells (editable)</t>
  </si>
  <si>
    <t>Calculated cells (protected)</t>
  </si>
  <si>
    <t>SUMMARY &amp; EQUATIONS</t>
  </si>
  <si>
    <t>KEY PERFORMANCE METRICS</t>
  </si>
  <si>
    <t>H2 Recovery:</t>
  </si>
  <si>
    <t>Target:</t>
  </si>
  <si>
    <t>Product H2 Purity:</t>
  </si>
  <si>
    <t>&gt;99.99%</t>
  </si>
  <si>
    <t>Feed Flow (SCFM):</t>
  </si>
  <si>
    <t>Xebec:</t>
  </si>
  <si>
    <t>Net Product (SCFM):</t>
  </si>
  <si>
    <t>Exhaust (SCFM):</t>
  </si>
  <si>
    <t>Mass Balance Check:</t>
  </si>
  <si>
    <t>MODEL EQUATIONS</t>
  </si>
  <si>
    <t>Algebraic Solution (eliminates circular references):</t>
  </si>
  <si>
    <t>Mixed Feed (per component i):</t>
  </si>
  <si>
    <t>Where:</t>
  </si>
  <si>
    <t>Stage 2 Tail Recycle Frac:</t>
  </si>
  <si>
    <t>4 S2 Tail Recy</t>
  </si>
  <si>
    <t>S2 Tail Vent</t>
  </si>
  <si>
    <t xml:space="preserve">    Mᵢ = Fᵢ / [ 1 - (1-R₁ᵢ)·(R₂ᵢ·r_tail + (1-R₂ᵢ)·r_prod) ]</t>
  </si>
  <si>
    <t xml:space="preserve">    Fᵢ       = Fresh feed flow of component i (SCFM)</t>
  </si>
  <si>
    <t xml:space="preserve">    Mᵢ       = Mixed feed flow of component i (SCFM)</t>
  </si>
  <si>
    <t xml:space="preserve">    R₁ᵢ      = Stage 1 removal fraction for component i</t>
  </si>
  <si>
    <t xml:space="preserve">    R₂ᵢ      = Stage 2 removal fraction for component i</t>
  </si>
  <si>
    <t xml:space="preserve">    r_tail   = Stage 2 tail recycle fraction (0 to 1)</t>
  </si>
  <si>
    <t xml:space="preserve">    r_prod   = Product recycle fraction (0 to 1)</t>
  </si>
  <si>
    <t>S2 Tail Vent (SCFM):</t>
  </si>
  <si>
    <t>FLAMMABILITY STATUS</t>
  </si>
  <si>
    <t>H2 LFL/UFL (%)</t>
  </si>
  <si>
    <t>Flammability</t>
  </si>
  <si>
    <t>⚠️ = Concern</t>
  </si>
  <si>
    <t>SAFETY WARNINGS</t>
  </si>
  <si>
    <t>S2 Tail H2%:</t>
  </si>
  <si>
    <t>S2 Tail O2%:</t>
  </si>
  <si>
    <t>Status:</t>
  </si>
  <si>
    <t>Stream Calculations (Cell References):</t>
  </si>
  <si>
    <t xml:space="preserve">  Exhaust (F)        = Mixed(E) × R₁        [=E×(C/100)]</t>
  </si>
  <si>
    <t xml:space="preserve">  Interstage (H)     = Mixed(E) - Exhaust(F) [=E-F]</t>
  </si>
  <si>
    <t xml:space="preserve">  Stage 2 Tail (J)   = Interstage(H) × R₂   [=H×(D/100)]</t>
  </si>
  <si>
    <t xml:space="preserve">  S2 Tail Recycle (C)= S2 Tail(J) × r_tail  [=J×$D$4]</t>
  </si>
  <si>
    <t xml:space="preserve">  S2 Tail Vent (G)   = S2 Tail(J) × (1-r_tail) [=J×(1-$D$4)]</t>
  </si>
  <si>
    <t xml:space="preserve">  Gross Product (I)  = Interstage(H) - S2 Tail(J) [=H-J]</t>
  </si>
  <si>
    <t xml:space="preserve">  Prod Recycle (D)   = Gross(I) × r_prod    [=I×$F$4]</t>
  </si>
  <si>
    <t xml:space="preserve">  Net Product (K)    = Gross(I) × (1-r_prod) [=I×(1-$F$4)]</t>
  </si>
  <si>
    <t xml:space="preserve">  η_H₂ = Net Prod H₂ / Feed H₂ × 100%</t>
  </si>
  <si>
    <t xml:space="preserve">  η_H₂ = K17 / B17 × 100%</t>
  </si>
  <si>
    <t>LFL 4 / UFL 75</t>
  </si>
  <si>
    <t>SENSITIVITY ANALYSIS</t>
  </si>
  <si>
    <t>H2 RECOVERY vs RECYCLE FRACTIONS</t>
  </si>
  <si>
    <t>Current S2 Tail Recycle:</t>
  </si>
  <si>
    <t>Current Product Recycle:</t>
  </si>
  <si>
    <t>S2 Tail Recycle</t>
  </si>
  <si>
    <t>Product Recycle</t>
  </si>
  <si>
    <t>H2 Recovery %</t>
  </si>
  <si>
    <t>H2 Purity %</t>
  </si>
  <si>
    <t>Net Product SCFM</t>
  </si>
  <si>
    <t>S2 Tail O2%</t>
  </si>
  <si>
    <t>NOTES:</t>
  </si>
  <si>
    <t>• H2 Recovery increases with S2 Tail Recycle (more H2 returned to system)</t>
  </si>
  <si>
    <t>• Product Recycle reduces net output but can improve purity</t>
  </si>
  <si>
    <t>• S2 Tail O2% remains constant (determined by removal rates, not recycle)</t>
  </si>
  <si>
    <t>• ⚠️ High S2 Tail Recycle increases internal O2 concentration - monitor carefully</t>
  </si>
  <si>
    <t>• Change values in PSA Model sheet to see updated results here</t>
  </si>
  <si>
    <t>KEY FINDINGS</t>
  </si>
  <si>
    <t>1. Increasing S2 Tail Recycle from 0% to 50% improves H2 recovery by ~1.3%</t>
  </si>
  <si>
    <t>2. Product recycle has diminishing returns - higher recycle = lower net output</t>
  </si>
  <si>
    <t>3. Optimal operating point depends on balancing recovery vs. throughput</t>
  </si>
  <si>
    <t>4. S2 Tail O2 concentration (~3.5%) remains a safety concern regardless of recycle</t>
  </si>
  <si>
    <t>5. For maximum recovery with safety: use S2 Tail Recycle ~50%, Product Recycle ~10%</t>
  </si>
  <si>
    <t>Sum</t>
  </si>
  <si>
    <t>From Gasifier</t>
  </si>
  <si>
    <t>Net PSA 1 Feed</t>
  </si>
  <si>
    <t>PSA 2 Recycle</t>
  </si>
  <si>
    <t>PSA 2 Feed</t>
  </si>
  <si>
    <t>PSA 2 Outlet Net</t>
  </si>
  <si>
    <t>PSA 2 Outlet Gross</t>
  </si>
  <si>
    <t>PSA 2 Tail</t>
  </si>
  <si>
    <t>PSA 1 Tail</t>
  </si>
  <si>
    <t>S2 Tail is fuel-rich (78% H2), but O2 &lt; 1%</t>
  </si>
  <si>
    <t>Low explosion risk with current O2 levels.</t>
  </si>
  <si>
    <t>Monitor feed O2; if &gt;2%, risk increases.</t>
  </si>
  <si>
    <t>O2 SAFETY SENSITIVITY ANALYSIS</t>
  </si>
  <si>
    <t>Critical Stage 1 O2 Removal Thresholds to Keep S2 Tail O2 &lt; 2%</t>
  </si>
  <si>
    <t>CRITICAL THRESHOLDS</t>
  </si>
  <si>
    <t>Inlet O2 %</t>
  </si>
  <si>
    <t>Min Safe S1 Removal %</t>
  </si>
  <si>
    <t>Safety Margin from 80%</t>
  </si>
  <si>
    <t>Status at 80% S1</t>
  </si>
  <si>
    <t>⚠️ DANGEROUS</t>
  </si>
  <si>
    <t>KEY FINDING:</t>
  </si>
  <si>
    <t>At 0.5% inlet O2, if S1 drops to 80%, S2 Tail O2 = 2.1% → EXPLOSIVE RISK</t>
  </si>
  <si>
    <t>Minimum safe S1 removal at 0.5% inlet = 81% (only 1% margin!)</t>
  </si>
  <si>
    <t>RECOMMENDATION: Install O2 analyzer on S2 Tail with 1.5% alarm</t>
  </si>
  <si>
    <t>S2 TAIL O2% vs STAGE 1 REMOVAL EFFICIENCY</t>
  </si>
  <si>
    <t>S1 O2 Removal %</t>
  </si>
  <si>
    <t>0.5% Inlet</t>
  </si>
  <si>
    <t>1.0% Inlet</t>
  </si>
  <si>
    <t>2.0% Inlet</t>
  </si>
  <si>
    <t>5.0% Inlet</t>
  </si>
  <si>
    <t>Danger Threshold:</t>
  </si>
  <si>
    <t>% O2</t>
  </si>
  <si>
    <t>&lt;-- Your concern (80%)</t>
  </si>
  <si>
    <t>&lt;-- Current operation</t>
  </si>
  <si>
    <t>Safe (&lt; 2% O2)</t>
  </si>
  <si>
    <t>Dangerous (&gt; 2% O2)</t>
  </si>
  <si>
    <t>Note: S2 Tail contains ~77% H2. With O2 &gt; 2%, this creates an explosive mixture.</t>
  </si>
  <si>
    <t>The H2/O2 mixture has a very wide flammability range (4-94% H2 in air).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</si>
</sst>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&quot;%&quot;"/>
    <numFmt numFmtId="168" formatCode="0.00&quot;%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color rgb="FF008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4" fillId="0" borderId="0" xfId="0" applyFont="1"/>
    <xf numFmtId="0" fontId="4" fillId="5" borderId="0" xfId="0" applyFont="1" applyFill="1"/>
    <xf numFmtId="0" fontId="1" fillId="4" borderId="0" xfId="0" applyFont="1" applyFill="1" applyAlignment="1">
      <alignment horizontal="center"/>
    </xf>
    <xf numFmtId="0" fontId="0" fillId="6" borderId="0" xfId="0" applyFill="1"/>
    <xf numFmtId="0" fontId="4" fillId="5" borderId="0" xfId="0" applyFont="1" applyFill="1" applyAlignment="1">
      <alignment horizontal="center"/>
    </xf>
    <xf numFmtId="0" fontId="1" fillId="6" borderId="0" xfId="0" applyFont="1" applyFill="1"/>
    <xf numFmtId="164" fontId="0" fillId="0" borderId="0" xfId="0" applyNumberFormat="1"/>
    <xf numFmtId="164" fontId="1" fillId="4" borderId="0" xfId="0" applyNumberFormat="1" applyFont="1" applyFill="1"/>
    <xf numFmtId="165" fontId="0" fillId="0" borderId="0" xfId="0" applyNumberFormat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4" borderId="0" xfId="0" applyFill="1"/>
    <xf numFmtId="0" fontId="0" fillId="5" borderId="0" xfId="0" applyFill="1"/>
    <xf numFmtId="0" fontId="5" fillId="0" borderId="0" xfId="0" applyFont="1"/>
    <xf numFmtId="0" fontId="0" fillId="7" borderId="0" xfId="0" applyFill="1" applyAlignment="1">
      <alignment horizontal="center"/>
    </xf>
    <xf numFmtId="167" fontId="0" fillId="7" borderId="0" xfId="0" applyNumberFormat="1" applyFill="1" applyAlignment="1">
      <alignment horizontal="center"/>
    </xf>
    <xf numFmtId="10" fontId="0" fillId="6" borderId="0" xfId="0" applyNumberFormat="1" applyFill="1" applyAlignment="1">
      <alignment horizontal="center"/>
    </xf>
    <xf numFmtId="168" fontId="0" fillId="7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3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6" fillId="4" borderId="0" xfId="0" applyFont="1" applyFill="1"/>
    <xf numFmtId="0" fontId="7" fillId="0" borderId="0" xfId="0" applyFont="1"/>
    <xf numFmtId="0" fontId="3" fillId="9" borderId="0" xfId="0" applyFont="1" applyFill="1"/>
    <xf numFmtId="0" fontId="0" fillId="9" borderId="0" xfId="0" applyFill="1"/>
    <xf numFmtId="0" fontId="8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49" fontId="0" fillId="10" borderId="0" xfId="0" applyNumberFormat="1" applyFill="1" applyAlignment="1">
      <alignment horizontal="center"/>
    </xf>
    <xf numFmtId="0" fontId="13" fillId="0" borderId="0" xfId="0" applyFont="1"/>
    <xf numFmtId="0" fontId="13" fillId="8" borderId="0" xfId="0" applyFont="1" applyFill="1"/>
    <xf numFmtId="0" fontId="7" fillId="8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3" fontId="0" fillId="7" borderId="0" xfId="0" applyNumberFormat="1" applyFill="1" applyAlignment="1">
      <alignment horizontal="center"/>
    </xf>
    <xf numFmtId="9" fontId="0" fillId="7" borderId="0" xfId="0" applyNumberFormat="1" applyFill="1"/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/>
    <xf numFmtId="0" fontId="1" fillId="4" borderId="2" xfId="0" applyFon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166" fontId="0" fillId="0" borderId="2" xfId="0" applyNumberFormat="1" applyBorder="1" applyAlignment="1">
      <alignment horizontal="center"/>
    </xf>
    <xf numFmtId="166" fontId="0" fillId="0" borderId="2" xfId="0" applyNumberFormat="1" applyBorder="1"/>
    <xf numFmtId="0" fontId="0" fillId="9" borderId="2" xfId="0" applyFill="1" applyBorder="1"/>
    <xf numFmtId="49" fontId="0" fillId="10" borderId="2" xfId="0" applyNumberForma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14" fillId="0" borderId="0" xfId="0" applyFont="1"/>
    <xf numFmtId="0" fontId="1" fillId="11" borderId="0" xfId="0" applyFont="1" applyFill="1"/>
    <xf numFmtId="0" fontId="0" fillId="11" borderId="0" xfId="0" applyFill="1"/>
    <xf numFmtId="0" fontId="15" fillId="0" borderId="0" xfId="0" applyFont="1"/>
    <xf numFmtId="0" fontId="16" fillId="0" borderId="0" xfId="0" applyFont="1"/>
    <xf numFmtId="0" fontId="0" fillId="12" borderId="0" xfId="0" applyFill="1"/>
    <xf numFmtId="0" fontId="17" fillId="0" borderId="0" xfId="0" applyFont="1"/>
    <xf numFmtId="166" fontId="0" fillId="13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 Recovery vs S2 Tail Recycle (No Product Recycle)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Sensitivity!$A$8</c:f>
              <c:strCache>
                <c:ptCount val="1"/>
                <c:pt idx="0">
                  <c:v>S2 Tail Recycle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Sensitivity!$A$9:$A$18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F-4078-B019-B761A241B21C}"/>
            </c:ext>
          </c:extLst>
        </c:ser>
        <c:ser>
          <c:idx val="1"/>
          <c:order val="1"/>
          <c:tx>
            <c:strRef>
              <c:f>Sensitivity!$B$8</c:f>
              <c:strCache>
                <c:ptCount val="1"/>
                <c:pt idx="0">
                  <c:v>Product Recycle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Sensitivity!$B$9:$B$18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F-4078-B019-B761A241B21C}"/>
            </c:ext>
          </c:extLst>
        </c:ser>
        <c:ser>
          <c:idx val="2"/>
          <c:order val="2"/>
          <c:tx>
            <c:strRef>
              <c:f>Sensitivity!$C$8</c:f>
              <c:strCache>
                <c:ptCount val="1"/>
                <c:pt idx="0">
                  <c:v>H2 Recovery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Sensitivity!$C$9:$C$18</c:f>
              <c:numCache>
                <c:formatCode>0.00</c:formatCode>
                <c:ptCount val="10"/>
                <c:pt idx="0">
                  <c:v>69.7</c:v>
                </c:pt>
                <c:pt idx="1">
                  <c:v>70.567986230636834</c:v>
                </c:pt>
                <c:pt idx="2">
                  <c:v>71.457863440639741</c:v>
                </c:pt>
                <c:pt idx="3">
                  <c:v>72.370470356141638</c:v>
                </c:pt>
                <c:pt idx="4">
                  <c:v>73.306689103912504</c:v>
                </c:pt>
                <c:pt idx="5">
                  <c:v>74.26744805540757</c:v>
                </c:pt>
                <c:pt idx="6">
                  <c:v>72.203038674033166</c:v>
                </c:pt>
                <c:pt idx="7">
                  <c:v>69.778500813415107</c:v>
                </c:pt>
                <c:pt idx="8">
                  <c:v>73.23992994746061</c:v>
                </c:pt>
                <c:pt idx="9">
                  <c:v>74.307036247334764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F-4078-B019-B761A241B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270032"/>
        <c:axId val="607270512"/>
      </c:lineChart>
      <c:catAx>
        <c:axId val="60727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270512"/>
        <c:crosses val="autoZero"/>
        <c:auto val="1"/>
        <c:lblAlgn val="ctr"/>
        <c:lblOffset val="100"/>
        <c:noMultiLvlLbl val="0"/>
      </c:catAx>
      <c:valAx>
        <c:axId val="6072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27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3</xdr:row>
      <xdr:rowOff>95250</xdr:rowOff>
    </xdr:from>
    <xdr:to>
      <xdr:col>14</xdr:col>
      <xdr:colOff>161925</xdr:colOff>
      <xdr:row>25</xdr:row>
      <xdr:rowOff>65850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EC924D-D653-1859-5054-35420B8F0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666750"/>
          <a:ext cx="7772400" cy="416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59516-358A-5DEC-19DD-D88E57729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6D5875-7011-46E5-B605-38C61A64C43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T47"/>
  <sheetViews>
    <sheetView tabSelected="1" workbookViewId="0">
      <selection activeCell="E12" sqref="E12"/>
    </sheetView>
  </sheetViews>
  <sheetFormatPr defaultRowHeight="15" x14ac:dyDescent="0.25"/>
  <cols>
    <col min="1" max="1" width="16.140625" customWidth="1"/>
    <col min="2" max="2" width="14.28515625" customWidth="1"/>
    <col min="3" max="3" width="23" bestFit="1" customWidth="1"/>
    <col min="4" max="4" width="17.7109375" bestFit="1" customWidth="1"/>
    <col min="5" max="5" width="19.85546875" bestFit="1" customWidth="1"/>
    <col min="6" max="6" width="12.140625" bestFit="1" customWidth="1"/>
    <col min="7" max="12" width="14.28515625" customWidth="1"/>
    <col min="14" max="14" width="34.28515625" customWidth="1"/>
    <col min="15" max="17" width="13.28515625" customWidth="1"/>
  </cols>
  <sheetData>
    <row r="1" spans="1:20" ht="18.75" x14ac:dyDescent="0.3">
      <c r="A1" s="1" t="s">
        <v>16</v>
      </c>
      <c r="B1" s="2"/>
      <c r="C1" s="2"/>
      <c r="D1" s="2"/>
      <c r="E1" s="2"/>
      <c r="F1" s="2"/>
      <c r="N1" s="1" t="s">
        <v>30</v>
      </c>
      <c r="O1" s="2"/>
      <c r="P1" s="2"/>
      <c r="Q1" s="2"/>
      <c r="R1" s="2"/>
      <c r="S1" s="2"/>
      <c r="T1" s="2"/>
    </row>
    <row r="3" spans="1:20" x14ac:dyDescent="0.25">
      <c r="A3" s="3" t="s">
        <v>17</v>
      </c>
      <c r="B3" s="4"/>
      <c r="C3" s="4"/>
      <c r="D3" s="4"/>
      <c r="E3" s="4"/>
      <c r="F3" s="4"/>
      <c r="H3" s="6" t="s">
        <v>27</v>
      </c>
      <c r="I3" s="18"/>
      <c r="J3" s="18"/>
      <c r="K3" s="18"/>
      <c r="L3" s="18"/>
      <c r="N3" s="3" t="s">
        <v>31</v>
      </c>
      <c r="O3" s="4"/>
      <c r="P3" s="4"/>
      <c r="Q3" s="4"/>
      <c r="R3" s="4"/>
      <c r="S3" s="4"/>
      <c r="T3" s="4"/>
    </row>
    <row r="4" spans="1:20" x14ac:dyDescent="0.25">
      <c r="A4" s="6" t="s">
        <v>18</v>
      </c>
      <c r="B4" s="8">
        <v>1100</v>
      </c>
      <c r="C4" s="6" t="s">
        <v>45</v>
      </c>
      <c r="D4" s="8">
        <v>1</v>
      </c>
      <c r="E4" s="6" t="s">
        <v>19</v>
      </c>
      <c r="F4" s="8">
        <v>0</v>
      </c>
      <c r="H4" s="19"/>
      <c r="I4" s="7" t="s">
        <v>28</v>
      </c>
      <c r="N4" s="6" t="s">
        <v>32</v>
      </c>
      <c r="O4" s="22">
        <f>K17/B17*100</f>
        <v>79.475484606613449</v>
      </c>
      <c r="P4" s="10" t="s">
        <v>33</v>
      </c>
      <c r="Q4" s="23">
        <v>0.79600000000000004</v>
      </c>
    </row>
    <row r="5" spans="1:20" x14ac:dyDescent="0.25">
      <c r="H5" s="18"/>
      <c r="I5" s="20" t="s">
        <v>29</v>
      </c>
      <c r="N5" s="6" t="s">
        <v>34</v>
      </c>
      <c r="O5" s="24">
        <f>K28</f>
        <v>99.999435145784048</v>
      </c>
      <c r="P5" s="10" t="s">
        <v>33</v>
      </c>
      <c r="Q5" s="25" t="s">
        <v>35</v>
      </c>
    </row>
    <row r="6" spans="1:20" x14ac:dyDescent="0.25">
      <c r="A6" s="6" t="s">
        <v>0</v>
      </c>
      <c r="B6" s="9" t="s">
        <v>1</v>
      </c>
      <c r="C6" s="9" t="s">
        <v>2</v>
      </c>
      <c r="D6" s="9" t="s">
        <v>3</v>
      </c>
      <c r="N6" s="6" t="s">
        <v>36</v>
      </c>
      <c r="O6" s="43">
        <f>B4</f>
        <v>1100</v>
      </c>
      <c r="P6" s="10" t="s">
        <v>37</v>
      </c>
      <c r="Q6" s="26">
        <v>1100</v>
      </c>
    </row>
    <row r="7" spans="1:20" x14ac:dyDescent="0.25">
      <c r="A7" s="10" t="s">
        <v>4</v>
      </c>
      <c r="B7" s="11">
        <v>32.08</v>
      </c>
      <c r="C7" s="11">
        <v>18</v>
      </c>
      <c r="D7" s="11">
        <v>15</v>
      </c>
      <c r="N7" s="6" t="s">
        <v>38</v>
      </c>
      <c r="O7" s="27">
        <f>K24</f>
        <v>280.4266315767112</v>
      </c>
      <c r="P7" s="10" t="s">
        <v>37</v>
      </c>
      <c r="Q7" s="25">
        <v>263</v>
      </c>
    </row>
    <row r="8" spans="1:20" x14ac:dyDescent="0.25">
      <c r="A8" s="10" t="s">
        <v>5</v>
      </c>
      <c r="B8" s="11">
        <v>38.22</v>
      </c>
      <c r="C8" s="11">
        <v>98</v>
      </c>
      <c r="D8" s="11">
        <v>99.99</v>
      </c>
      <c r="N8" s="6" t="s">
        <v>39</v>
      </c>
      <c r="O8" s="27">
        <f>F24</f>
        <v>819.57336842328891</v>
      </c>
      <c r="P8" s="10" t="s">
        <v>37</v>
      </c>
      <c r="Q8" s="25">
        <v>837</v>
      </c>
    </row>
    <row r="9" spans="1:20" x14ac:dyDescent="0.25">
      <c r="A9" s="10" t="s">
        <v>6</v>
      </c>
      <c r="B9" s="11">
        <v>21.98</v>
      </c>
      <c r="C9" s="11">
        <v>98</v>
      </c>
      <c r="D9" s="11">
        <v>99.99</v>
      </c>
      <c r="N9" s="6" t="s">
        <v>55</v>
      </c>
      <c r="O9" s="27">
        <f>G24</f>
        <v>0</v>
      </c>
      <c r="P9" s="10"/>
      <c r="Q9" s="10"/>
    </row>
    <row r="10" spans="1:20" x14ac:dyDescent="0.25">
      <c r="A10" s="10" t="s">
        <v>7</v>
      </c>
      <c r="B10" s="11">
        <v>4.8499999999999996</v>
      </c>
      <c r="C10" s="11">
        <v>99</v>
      </c>
      <c r="D10" s="11">
        <v>99.99</v>
      </c>
      <c r="N10" s="6" t="s">
        <v>40</v>
      </c>
      <c r="O10" s="21" t="str">
        <f>IF(ABS(L24)&lt;0.0001,"✓ OK","✗ Error")</f>
        <v>✓ OK</v>
      </c>
    </row>
    <row r="11" spans="1:20" x14ac:dyDescent="0.25">
      <c r="A11" s="10" t="s">
        <v>8</v>
      </c>
      <c r="B11" s="11">
        <v>0.5</v>
      </c>
      <c r="C11" s="11">
        <v>95</v>
      </c>
      <c r="D11" s="11">
        <v>99.99</v>
      </c>
    </row>
    <row r="12" spans="1:20" x14ac:dyDescent="0.25">
      <c r="A12" s="10" t="s">
        <v>9</v>
      </c>
      <c r="B12" s="11">
        <v>0.5</v>
      </c>
      <c r="C12" s="11">
        <v>81</v>
      </c>
      <c r="D12" s="11">
        <v>99.99</v>
      </c>
      <c r="N12" s="3" t="s">
        <v>41</v>
      </c>
      <c r="O12" s="4"/>
      <c r="P12" s="4"/>
      <c r="Q12" s="4"/>
      <c r="R12" s="4"/>
      <c r="S12" s="4"/>
      <c r="T12" s="4"/>
    </row>
    <row r="13" spans="1:20" x14ac:dyDescent="0.25">
      <c r="A13" s="10" t="s">
        <v>10</v>
      </c>
      <c r="B13" s="11">
        <v>1.88</v>
      </c>
      <c r="C13" s="11">
        <v>99</v>
      </c>
      <c r="D13" s="11">
        <v>99.99</v>
      </c>
      <c r="N13" s="28" t="s">
        <v>42</v>
      </c>
    </row>
    <row r="14" spans="1:20" x14ac:dyDescent="0.25">
      <c r="N14" s="10"/>
    </row>
    <row r="15" spans="1:20" x14ac:dyDescent="0.25">
      <c r="A15" s="3" t="s">
        <v>20</v>
      </c>
      <c r="B15" s="4" t="s">
        <v>99</v>
      </c>
      <c r="C15" s="4"/>
      <c r="D15" s="4"/>
      <c r="E15" s="58" t="s">
        <v>100</v>
      </c>
      <c r="F15" s="59" t="s">
        <v>106</v>
      </c>
      <c r="G15" s="58" t="s">
        <v>101</v>
      </c>
      <c r="H15" s="58" t="s">
        <v>102</v>
      </c>
      <c r="I15" s="58" t="s">
        <v>104</v>
      </c>
      <c r="J15" s="59" t="s">
        <v>105</v>
      </c>
      <c r="K15" s="58" t="s">
        <v>103</v>
      </c>
      <c r="L15" s="4"/>
      <c r="N15" s="5" t="s">
        <v>43</v>
      </c>
    </row>
    <row r="16" spans="1:20" x14ac:dyDescent="0.25">
      <c r="A16" s="6" t="s">
        <v>0</v>
      </c>
      <c r="B16" s="9" t="s">
        <v>11</v>
      </c>
      <c r="C16" s="9" t="s">
        <v>46</v>
      </c>
      <c r="D16" s="9" t="s">
        <v>21</v>
      </c>
      <c r="E16" s="9" t="s">
        <v>12</v>
      </c>
      <c r="F16" s="48" t="s">
        <v>15</v>
      </c>
      <c r="G16" s="9" t="s">
        <v>47</v>
      </c>
      <c r="H16" s="9" t="s">
        <v>13</v>
      </c>
      <c r="I16" s="9" t="s">
        <v>22</v>
      </c>
      <c r="J16" s="48" t="s">
        <v>14</v>
      </c>
      <c r="K16" s="9" t="s">
        <v>23</v>
      </c>
      <c r="L16" s="9" t="s">
        <v>24</v>
      </c>
      <c r="N16" s="41" t="s">
        <v>48</v>
      </c>
    </row>
    <row r="17" spans="1:14" x14ac:dyDescent="0.25">
      <c r="A17" s="10" t="s">
        <v>4</v>
      </c>
      <c r="B17" s="15">
        <f>$B$4*B7/SUM($B$7:$B$13)</f>
        <v>352.84471552844718</v>
      </c>
      <c r="C17" s="15">
        <f t="shared" ref="C17:C23" si="0">J17*$D$4</f>
        <v>49.486773101481184</v>
      </c>
      <c r="D17" s="15">
        <f t="shared" ref="D17:D23" si="1">I17*$F$4</f>
        <v>0</v>
      </c>
      <c r="E17" s="15">
        <f t="shared" ref="E17:E23" si="2">B17/(1 - (1-C7/100)*((D7/100)*$D$4 + (1-D7/100)*$F$4))</f>
        <v>402.33148862992834</v>
      </c>
      <c r="F17" s="49">
        <f t="shared" ref="F17:F23" si="3">E17*(C7/100)</f>
        <v>72.419667953387105</v>
      </c>
      <c r="G17" s="15">
        <f t="shared" ref="G17:G23" si="4">J17*(1-$D$4)</f>
        <v>0</v>
      </c>
      <c r="H17" s="15">
        <f t="shared" ref="H17:H23" si="5">E17-F17</f>
        <v>329.91182067654125</v>
      </c>
      <c r="I17" s="15">
        <f t="shared" ref="I17:I23" si="6">H17-J17</f>
        <v>280.42504757506009</v>
      </c>
      <c r="J17" s="49">
        <f t="shared" ref="J17:J23" si="7">H17*(D7/100)</f>
        <v>49.486773101481184</v>
      </c>
      <c r="K17" s="15">
        <f t="shared" ref="K17:K23" si="8">I17*(1-$F$4)</f>
        <v>280.42504757506009</v>
      </c>
      <c r="L17" s="13">
        <f t="shared" ref="L17:L24" si="9">B17-F17-G17-K17</f>
        <v>0</v>
      </c>
      <c r="N17" s="10"/>
    </row>
    <row r="18" spans="1:14" x14ac:dyDescent="0.25">
      <c r="A18" s="10" t="s">
        <v>5</v>
      </c>
      <c r="B18" s="15">
        <f>$B$4*B8/SUM($B$7:$B$13)</f>
        <v>420.37796220377965</v>
      </c>
      <c r="C18" s="15">
        <f t="shared" si="0"/>
        <v>8.5782666649161943</v>
      </c>
      <c r="D18" s="15">
        <f t="shared" si="1"/>
        <v>0</v>
      </c>
      <c r="E18" s="15">
        <f t="shared" si="2"/>
        <v>428.9562288686958</v>
      </c>
      <c r="F18" s="49">
        <f t="shared" si="3"/>
        <v>420.37710429132187</v>
      </c>
      <c r="G18" s="15">
        <f t="shared" si="4"/>
        <v>0</v>
      </c>
      <c r="H18" s="15">
        <f t="shared" si="5"/>
        <v>8.579124577373932</v>
      </c>
      <c r="I18" s="15">
        <f t="shared" si="6"/>
        <v>8.5791245773769731E-4</v>
      </c>
      <c r="J18" s="49">
        <f t="shared" si="7"/>
        <v>8.5782666649161943</v>
      </c>
      <c r="K18" s="15">
        <f t="shared" si="8"/>
        <v>8.5791245773769731E-4</v>
      </c>
      <c r="L18" s="13">
        <f t="shared" si="9"/>
        <v>3.730349362740526E-14</v>
      </c>
      <c r="N18" s="5" t="s">
        <v>44</v>
      </c>
    </row>
    <row r="19" spans="1:14" x14ac:dyDescent="0.25">
      <c r="A19" s="10" t="s">
        <v>6</v>
      </c>
      <c r="B19" s="15">
        <f>$B$4*B9/SUM($B$7:$B$13)</f>
        <v>241.75582441755827</v>
      </c>
      <c r="C19" s="15">
        <f t="shared" si="0"/>
        <v>4.9332888878821954</v>
      </c>
      <c r="D19" s="15">
        <f t="shared" si="1"/>
        <v>0</v>
      </c>
      <c r="E19" s="15">
        <f t="shared" si="2"/>
        <v>246.68911330544046</v>
      </c>
      <c r="F19" s="49">
        <f t="shared" si="3"/>
        <v>241.75533103933165</v>
      </c>
      <c r="G19" s="15">
        <f t="shared" si="4"/>
        <v>0</v>
      </c>
      <c r="H19" s="15">
        <f t="shared" si="5"/>
        <v>4.9337822661088069</v>
      </c>
      <c r="I19" s="15">
        <f t="shared" si="6"/>
        <v>4.933782266114406E-4</v>
      </c>
      <c r="J19" s="49">
        <f t="shared" si="7"/>
        <v>4.9332888878821954</v>
      </c>
      <c r="K19" s="15">
        <f t="shared" si="8"/>
        <v>4.933782266114406E-4</v>
      </c>
      <c r="L19" s="13">
        <f t="shared" si="9"/>
        <v>1.0658141036401503E-14</v>
      </c>
      <c r="N19" t="s">
        <v>49</v>
      </c>
    </row>
    <row r="20" spans="1:14" x14ac:dyDescent="0.25">
      <c r="A20" s="10" t="s">
        <v>7</v>
      </c>
      <c r="B20" s="15">
        <f>$B$4*B10/SUM($B$7:$B$13)</f>
        <v>53.344665533446658</v>
      </c>
      <c r="C20" s="15">
        <f t="shared" si="0"/>
        <v>0.53878057766500398</v>
      </c>
      <c r="D20" s="15">
        <f t="shared" si="1"/>
        <v>0</v>
      </c>
      <c r="E20" s="15">
        <f t="shared" si="2"/>
        <v>53.88344611111166</v>
      </c>
      <c r="F20" s="49">
        <f t="shared" si="3"/>
        <v>53.344611650000545</v>
      </c>
      <c r="G20" s="15">
        <f t="shared" si="4"/>
        <v>0</v>
      </c>
      <c r="H20" s="15">
        <f t="shared" si="5"/>
        <v>0.5388344611111151</v>
      </c>
      <c r="I20" s="15">
        <f t="shared" si="6"/>
        <v>5.3883446111124833E-5</v>
      </c>
      <c r="J20" s="49">
        <f t="shared" si="7"/>
        <v>0.53878057766500398</v>
      </c>
      <c r="K20" s="15">
        <f t="shared" si="8"/>
        <v>5.3883446111124833E-5</v>
      </c>
      <c r="L20" s="13">
        <f t="shared" si="9"/>
        <v>2.7755575615628914E-15</v>
      </c>
      <c r="N20" t="s">
        <v>50</v>
      </c>
    </row>
    <row r="21" spans="1:14" x14ac:dyDescent="0.25">
      <c r="A21" s="10" t="s">
        <v>8</v>
      </c>
      <c r="B21" s="15">
        <f>$B$4*B11/SUM($B$7:$B$13)</f>
        <v>5.4994500549945009</v>
      </c>
      <c r="C21" s="15">
        <f t="shared" si="0"/>
        <v>0.28941427202956882</v>
      </c>
      <c r="D21" s="15">
        <f t="shared" si="1"/>
        <v>0</v>
      </c>
      <c r="E21" s="15">
        <f t="shared" si="2"/>
        <v>5.7888643270240694</v>
      </c>
      <c r="F21" s="49">
        <f t="shared" si="3"/>
        <v>5.4994211106728654</v>
      </c>
      <c r="G21" s="15">
        <f t="shared" si="4"/>
        <v>0</v>
      </c>
      <c r="H21" s="15">
        <f t="shared" si="5"/>
        <v>0.28944321635120396</v>
      </c>
      <c r="I21" s="15">
        <f t="shared" si="6"/>
        <v>2.8944321635138159E-5</v>
      </c>
      <c r="J21" s="49">
        <f t="shared" si="7"/>
        <v>0.28941427202956882</v>
      </c>
      <c r="K21" s="15">
        <f t="shared" si="8"/>
        <v>2.8944321635138159E-5</v>
      </c>
      <c r="L21" s="13">
        <f t="shared" si="9"/>
        <v>3.3306690738754696E-16</v>
      </c>
      <c r="N21" t="s">
        <v>51</v>
      </c>
    </row>
    <row r="22" spans="1:14" x14ac:dyDescent="0.25">
      <c r="A22" s="10" t="s">
        <v>9</v>
      </c>
      <c r="B22" s="15">
        <f>$B$4*B12/SUM($B$7:$B$13)</f>
        <v>5.4994500549945009</v>
      </c>
      <c r="C22" s="15">
        <f>J22*$D$4</f>
        <v>1.2898352025050153</v>
      </c>
      <c r="D22" s="15">
        <f t="shared" si="1"/>
        <v>0</v>
      </c>
      <c r="E22" s="15">
        <f t="shared" si="2"/>
        <v>6.7892852574995164</v>
      </c>
      <c r="F22" s="49">
        <f t="shared" si="3"/>
        <v>5.4993210585746084</v>
      </c>
      <c r="G22" s="15">
        <f t="shared" si="4"/>
        <v>0</v>
      </c>
      <c r="H22" s="15">
        <f t="shared" si="5"/>
        <v>1.289964198924908</v>
      </c>
      <c r="I22" s="15">
        <f t="shared" si="6"/>
        <v>1.2899641989272403E-4</v>
      </c>
      <c r="J22" s="49">
        <f t="shared" si="7"/>
        <v>1.2898352025050153</v>
      </c>
      <c r="K22" s="15">
        <f t="shared" si="8"/>
        <v>1.2899641989272403E-4</v>
      </c>
      <c r="L22" s="13">
        <f t="shared" si="9"/>
        <v>-2.2204460492503131E-16</v>
      </c>
      <c r="N22" t="s">
        <v>52</v>
      </c>
    </row>
    <row r="23" spans="1:14" x14ac:dyDescent="0.25">
      <c r="A23" s="10" t="s">
        <v>10</v>
      </c>
      <c r="B23" s="15">
        <f>$B$4*B13/SUM($B$7:$B$13)</f>
        <v>20.677932206779325</v>
      </c>
      <c r="C23" s="15">
        <f t="shared" si="0"/>
        <v>0.20884690433200295</v>
      </c>
      <c r="D23" s="15">
        <f t="shared" si="1"/>
        <v>0</v>
      </c>
      <c r="E23" s="15">
        <f t="shared" si="2"/>
        <v>20.886779111111327</v>
      </c>
      <c r="F23" s="49">
        <f t="shared" si="3"/>
        <v>20.677911320000213</v>
      </c>
      <c r="G23" s="15">
        <f t="shared" si="4"/>
        <v>0</v>
      </c>
      <c r="H23" s="15">
        <f t="shared" si="5"/>
        <v>0.20886779111111409</v>
      </c>
      <c r="I23" s="15">
        <f t="shared" si="6"/>
        <v>2.0886779111134457E-5</v>
      </c>
      <c r="J23" s="49">
        <f t="shared" si="7"/>
        <v>0.20884690433200295</v>
      </c>
      <c r="K23" s="15">
        <f t="shared" si="8"/>
        <v>2.0886779111134457E-5</v>
      </c>
      <c r="L23" s="13">
        <f t="shared" si="9"/>
        <v>4.7184478546569153E-16</v>
      </c>
      <c r="N23" t="s">
        <v>53</v>
      </c>
    </row>
    <row r="24" spans="1:14" x14ac:dyDescent="0.25">
      <c r="A24" s="6" t="s">
        <v>25</v>
      </c>
      <c r="B24" s="16">
        <f t="shared" ref="B24:K24" si="10">SUM(B17:B23)</f>
        <v>1100</v>
      </c>
      <c r="C24" s="16">
        <f t="shared" si="10"/>
        <v>65.325205610811167</v>
      </c>
      <c r="D24" s="16">
        <f t="shared" si="10"/>
        <v>0</v>
      </c>
      <c r="E24" s="16">
        <f t="shared" si="10"/>
        <v>1165.3252056108113</v>
      </c>
      <c r="F24" s="50">
        <f t="shared" si="10"/>
        <v>819.57336842328891</v>
      </c>
      <c r="G24" s="16">
        <f t="shared" si="10"/>
        <v>0</v>
      </c>
      <c r="H24" s="16">
        <f t="shared" si="10"/>
        <v>345.75183718752237</v>
      </c>
      <c r="I24" s="16">
        <f t="shared" si="10"/>
        <v>280.4266315767112</v>
      </c>
      <c r="J24" s="50">
        <f t="shared" si="10"/>
        <v>65.325205610811167</v>
      </c>
      <c r="K24" s="16">
        <f t="shared" si="10"/>
        <v>280.4266315767112</v>
      </c>
      <c r="L24" s="14">
        <f t="shared" si="9"/>
        <v>0</v>
      </c>
      <c r="N24" t="s">
        <v>54</v>
      </c>
    </row>
    <row r="25" spans="1:14" x14ac:dyDescent="0.25">
      <c r="F25" s="51"/>
      <c r="J25" s="51"/>
    </row>
    <row r="26" spans="1:14" x14ac:dyDescent="0.25">
      <c r="A26" s="3" t="s">
        <v>26</v>
      </c>
      <c r="B26" s="4"/>
      <c r="C26" s="4"/>
      <c r="D26" s="4"/>
      <c r="E26" s="4"/>
      <c r="F26" s="52"/>
      <c r="G26" s="4"/>
      <c r="H26" s="4"/>
      <c r="I26" s="4"/>
      <c r="J26" s="52"/>
      <c r="K26" s="4"/>
      <c r="L26" s="4"/>
      <c r="N26" s="5" t="s">
        <v>64</v>
      </c>
    </row>
    <row r="27" spans="1:14" x14ac:dyDescent="0.25">
      <c r="A27" s="6" t="s">
        <v>0</v>
      </c>
      <c r="B27" s="9" t="s">
        <v>11</v>
      </c>
      <c r="C27" s="9" t="s">
        <v>46</v>
      </c>
      <c r="D27" s="9" t="s">
        <v>21</v>
      </c>
      <c r="E27" s="9" t="s">
        <v>12</v>
      </c>
      <c r="F27" s="48" t="s">
        <v>15</v>
      </c>
      <c r="G27" s="9" t="s">
        <v>47</v>
      </c>
      <c r="H27" s="9" t="s">
        <v>13</v>
      </c>
      <c r="I27" s="9" t="s">
        <v>22</v>
      </c>
      <c r="J27" s="48" t="s">
        <v>14</v>
      </c>
      <c r="K27" s="9" t="s">
        <v>23</v>
      </c>
      <c r="N27" s="42" t="s">
        <v>65</v>
      </c>
    </row>
    <row r="28" spans="1:14" x14ac:dyDescent="0.25">
      <c r="A28" s="10" t="s">
        <v>4</v>
      </c>
      <c r="B28" s="17">
        <f t="shared" ref="B28:K28" si="11">IF(B$24=0,0,B17/B$24*100)</f>
        <v>32.076792320767929</v>
      </c>
      <c r="C28" s="17">
        <f t="shared" si="11"/>
        <v>75.754485024217416</v>
      </c>
      <c r="D28" s="17">
        <f t="shared" si="11"/>
        <v>0</v>
      </c>
      <c r="E28" s="17">
        <f t="shared" si="11"/>
        <v>34.525254125868173</v>
      </c>
      <c r="F28" s="53">
        <f t="shared" si="11"/>
        <v>8.8362641764104009</v>
      </c>
      <c r="G28" s="17">
        <f t="shared" si="11"/>
        <v>0</v>
      </c>
      <c r="H28" s="17">
        <f t="shared" si="11"/>
        <v>95.41867466567065</v>
      </c>
      <c r="I28" s="17">
        <f t="shared" si="11"/>
        <v>99.999435145784048</v>
      </c>
      <c r="J28" s="53">
        <f t="shared" si="11"/>
        <v>75.754485024217416</v>
      </c>
      <c r="K28" s="17">
        <f t="shared" si="11"/>
        <v>99.999435145784048</v>
      </c>
      <c r="N28" s="39" t="s">
        <v>66</v>
      </c>
    </row>
    <row r="29" spans="1:14" x14ac:dyDescent="0.25">
      <c r="A29" s="10" t="s">
        <v>5</v>
      </c>
      <c r="B29" s="17">
        <f t="shared" ref="B29:K29" si="12">IF(B$24=0,0,B18/B$24*100)</f>
        <v>38.216178382161786</v>
      </c>
      <c r="C29" s="17">
        <f t="shared" si="12"/>
        <v>13.131633623969046</v>
      </c>
      <c r="D29" s="17">
        <f t="shared" si="12"/>
        <v>0</v>
      </c>
      <c r="E29" s="17">
        <f t="shared" si="12"/>
        <v>36.810001774899916</v>
      </c>
      <c r="F29" s="53">
        <f t="shared" si="12"/>
        <v>51.292186946002339</v>
      </c>
      <c r="G29" s="17">
        <f t="shared" si="12"/>
        <v>0</v>
      </c>
      <c r="H29" s="17">
        <f t="shared" si="12"/>
        <v>2.4812954421760449</v>
      </c>
      <c r="I29" s="17">
        <f t="shared" si="12"/>
        <v>3.0593116385346368E-4</v>
      </c>
      <c r="J29" s="53">
        <f t="shared" si="12"/>
        <v>13.131633623969046</v>
      </c>
      <c r="K29" s="17">
        <f t="shared" si="12"/>
        <v>3.0593116385346368E-4</v>
      </c>
      <c r="N29" s="39" t="s">
        <v>67</v>
      </c>
    </row>
    <row r="30" spans="1:14" x14ac:dyDescent="0.25">
      <c r="A30" s="10" t="s">
        <v>6</v>
      </c>
      <c r="B30" s="17">
        <f t="shared" ref="B30:K30" si="13">IF(B$24=0,0,B19/B$24*100)</f>
        <v>21.977802219778024</v>
      </c>
      <c r="C30" s="17">
        <f t="shared" si="13"/>
        <v>7.5518918643338306</v>
      </c>
      <c r="D30" s="17">
        <f t="shared" si="13"/>
        <v>0</v>
      </c>
      <c r="E30" s="17">
        <f t="shared" si="13"/>
        <v>21.169121899850872</v>
      </c>
      <c r="F30" s="53">
        <f t="shared" si="13"/>
        <v>29.497704580668017</v>
      </c>
      <c r="G30" s="17">
        <f t="shared" si="13"/>
        <v>0</v>
      </c>
      <c r="H30" s="17">
        <f t="shared" si="13"/>
        <v>1.4269721041085648</v>
      </c>
      <c r="I30" s="17">
        <f t="shared" si="13"/>
        <v>1.7593843489022409E-4</v>
      </c>
      <c r="J30" s="53">
        <f t="shared" si="13"/>
        <v>7.5518918643338306</v>
      </c>
      <c r="K30" s="17">
        <f t="shared" si="13"/>
        <v>1.7593843489022409E-4</v>
      </c>
      <c r="N30" s="39" t="s">
        <v>68</v>
      </c>
    </row>
    <row r="31" spans="1:14" x14ac:dyDescent="0.25">
      <c r="A31" s="10" t="s">
        <v>7</v>
      </c>
      <c r="B31" s="17">
        <f t="shared" ref="B31:K31" si="14">IF(B$24=0,0,B20/B$24*100)</f>
        <v>4.8495150484951512</v>
      </c>
      <c r="C31" s="17">
        <f t="shared" si="14"/>
        <v>0.82476675370132635</v>
      </c>
      <c r="D31" s="17">
        <f t="shared" si="14"/>
        <v>0</v>
      </c>
      <c r="E31" s="17">
        <f t="shared" si="14"/>
        <v>4.6238977627595697</v>
      </c>
      <c r="F31" s="53">
        <f t="shared" si="14"/>
        <v>6.5088268732579655</v>
      </c>
      <c r="G31" s="17">
        <f t="shared" si="14"/>
        <v>0</v>
      </c>
      <c r="H31" s="17">
        <f t="shared" si="14"/>
        <v>0.15584427995934905</v>
      </c>
      <c r="I31" s="17">
        <f t="shared" si="14"/>
        <v>1.9214810593474222E-5</v>
      </c>
      <c r="J31" s="53">
        <f t="shared" si="14"/>
        <v>0.82476675370132635</v>
      </c>
      <c r="K31" s="17">
        <f t="shared" si="14"/>
        <v>1.9214810593474222E-5</v>
      </c>
      <c r="N31" s="39" t="s">
        <v>69</v>
      </c>
    </row>
    <row r="32" spans="1:14" x14ac:dyDescent="0.25">
      <c r="A32" s="10" t="s">
        <v>8</v>
      </c>
      <c r="B32" s="17">
        <f t="shared" ref="B32:K32" si="15">IF(B$24=0,0,B21/B$24*100)</f>
        <v>0.4999500049995001</v>
      </c>
      <c r="C32" s="17">
        <f t="shared" si="15"/>
        <v>0.44303614404800501</v>
      </c>
      <c r="D32" s="17">
        <f t="shared" si="15"/>
        <v>0</v>
      </c>
      <c r="E32" s="17">
        <f t="shared" si="15"/>
        <v>0.49675955683030182</v>
      </c>
      <c r="F32" s="53">
        <f t="shared" si="15"/>
        <v>0.67101022587553794</v>
      </c>
      <c r="G32" s="17">
        <f t="shared" si="15"/>
        <v>0</v>
      </c>
      <c r="H32" s="17">
        <f t="shared" si="15"/>
        <v>8.37141513710081E-2</v>
      </c>
      <c r="I32" s="17">
        <f t="shared" si="15"/>
        <v>1.0321530973145248E-5</v>
      </c>
      <c r="J32" s="53">
        <f t="shared" si="15"/>
        <v>0.44303614404800501</v>
      </c>
      <c r="K32" s="17">
        <f t="shared" si="15"/>
        <v>1.0321530973145248E-5</v>
      </c>
      <c r="N32" s="39" t="s">
        <v>70</v>
      </c>
    </row>
    <row r="33" spans="1:17" x14ac:dyDescent="0.25">
      <c r="A33" s="10" t="s">
        <v>9</v>
      </c>
      <c r="B33" s="17">
        <f t="shared" ref="B33:K33" si="16">IF(B$24=0,0,B22/B$24*100)</f>
        <v>0.4999500049995001</v>
      </c>
      <c r="C33" s="17">
        <f t="shared" si="16"/>
        <v>1.9744831882956226</v>
      </c>
      <c r="D33" s="17">
        <f t="shared" si="16"/>
        <v>0</v>
      </c>
      <c r="E33" s="17">
        <f t="shared" si="16"/>
        <v>0.58260863360806459</v>
      </c>
      <c r="F33" s="67">
        <f t="shared" si="16"/>
        <v>0.67099801804862313</v>
      </c>
      <c r="G33" s="17">
        <f t="shared" si="16"/>
        <v>0</v>
      </c>
      <c r="H33" s="17">
        <f t="shared" si="16"/>
        <v>0.37308961520435291</v>
      </c>
      <c r="I33" s="17">
        <f t="shared" si="16"/>
        <v>4.6000060396345355E-5</v>
      </c>
      <c r="J33" s="67">
        <f t="shared" si="16"/>
        <v>1.9744831882956226</v>
      </c>
      <c r="K33" s="17">
        <f t="shared" si="16"/>
        <v>4.6000060396345355E-5</v>
      </c>
      <c r="N33" s="39" t="s">
        <v>71</v>
      </c>
    </row>
    <row r="34" spans="1:17" x14ac:dyDescent="0.25">
      <c r="A34" s="10" t="s">
        <v>10</v>
      </c>
      <c r="B34" s="17">
        <f t="shared" ref="B34:K34" si="17">IF(B$24=0,0,B23/B$24*100)</f>
        <v>1.8798120187981204</v>
      </c>
      <c r="C34" s="17">
        <f t="shared" si="17"/>
        <v>0.31970340143474307</v>
      </c>
      <c r="D34" s="17">
        <f t="shared" si="17"/>
        <v>0</v>
      </c>
      <c r="E34" s="17">
        <f t="shared" si="17"/>
        <v>1.7923562461830911</v>
      </c>
      <c r="F34" s="53">
        <f t="shared" si="17"/>
        <v>2.5230091797371084</v>
      </c>
      <c r="G34" s="17">
        <f t="shared" si="17"/>
        <v>0</v>
      </c>
      <c r="H34" s="17">
        <f t="shared" si="17"/>
        <v>6.0409741510016129E-2</v>
      </c>
      <c r="I34" s="17">
        <f t="shared" si="17"/>
        <v>7.4482152403634469E-6</v>
      </c>
      <c r="J34" s="53">
        <f t="shared" si="17"/>
        <v>0.31970340143474307</v>
      </c>
      <c r="K34" s="17">
        <f t="shared" si="17"/>
        <v>7.4482152403634469E-6</v>
      </c>
      <c r="N34" s="39" t="s">
        <v>72</v>
      </c>
    </row>
    <row r="35" spans="1:17" x14ac:dyDescent="0.25">
      <c r="A35" s="10" t="s">
        <v>98</v>
      </c>
      <c r="B35" s="47">
        <f>SUM(B28:B34)</f>
        <v>100.00000000000003</v>
      </c>
      <c r="C35" s="47">
        <f t="shared" ref="C35:K35" si="18">SUM(C28:C34)</f>
        <v>99.999999999999986</v>
      </c>
      <c r="D35" s="47">
        <f t="shared" si="18"/>
        <v>0</v>
      </c>
      <c r="E35" s="47">
        <f t="shared" si="18"/>
        <v>99.999999999999972</v>
      </c>
      <c r="F35" s="54">
        <f t="shared" si="18"/>
        <v>99.999999999999972</v>
      </c>
      <c r="G35" s="47">
        <f t="shared" si="18"/>
        <v>0</v>
      </c>
      <c r="H35" s="47">
        <f t="shared" si="18"/>
        <v>100</v>
      </c>
      <c r="I35" s="47">
        <f t="shared" si="18"/>
        <v>100</v>
      </c>
      <c r="J35" s="54">
        <f t="shared" si="18"/>
        <v>99.999999999999986</v>
      </c>
      <c r="K35" s="47">
        <f t="shared" si="18"/>
        <v>100</v>
      </c>
    </row>
    <row r="36" spans="1:17" x14ac:dyDescent="0.25">
      <c r="A36" s="30" t="s">
        <v>56</v>
      </c>
      <c r="B36" s="31"/>
      <c r="C36" s="31"/>
      <c r="D36" s="31"/>
      <c r="E36" s="31"/>
      <c r="F36" s="55"/>
      <c r="G36" s="31"/>
      <c r="H36" s="31"/>
      <c r="I36" s="31"/>
      <c r="J36" s="55"/>
      <c r="K36" s="31"/>
      <c r="L36" s="31"/>
      <c r="N36" s="29" t="s">
        <v>32</v>
      </c>
    </row>
    <row r="37" spans="1:17" x14ac:dyDescent="0.25">
      <c r="A37" s="12" t="s">
        <v>57</v>
      </c>
      <c r="B37" s="38" t="s">
        <v>75</v>
      </c>
      <c r="C37" s="38" t="s">
        <v>75</v>
      </c>
      <c r="D37" s="38" t="s">
        <v>75</v>
      </c>
      <c r="E37" s="38" t="s">
        <v>75</v>
      </c>
      <c r="F37" s="56" t="s">
        <v>75</v>
      </c>
      <c r="G37" s="38" t="s">
        <v>75</v>
      </c>
      <c r="H37" s="38" t="s">
        <v>75</v>
      </c>
      <c r="I37" s="38" t="s">
        <v>75</v>
      </c>
      <c r="J37" s="56" t="s">
        <v>75</v>
      </c>
      <c r="K37" s="38" t="s">
        <v>75</v>
      </c>
      <c r="N37" s="40" t="s">
        <v>73</v>
      </c>
    </row>
    <row r="38" spans="1:17" x14ac:dyDescent="0.25">
      <c r="A38" s="12" t="s">
        <v>58</v>
      </c>
      <c r="B38" s="33" t="str">
        <f t="shared" ref="B38:K38" si="19">IF(B33&lt;0.1,"Safe-Low O2",IF(AND(B28&gt;4,B33&gt;2),"⚠️CRITICAL",IF(B28&lt;4,"Safe-Below LFL",IF(B28&gt;75,"Caution-Rich","⚠️FLAMMABLE"))))</f>
        <v>⚠️FLAMMABLE</v>
      </c>
      <c r="C38" s="33" t="str">
        <f t="shared" si="19"/>
        <v>Caution-Rich</v>
      </c>
      <c r="D38" s="33" t="str">
        <f t="shared" si="19"/>
        <v>Safe-Low O2</v>
      </c>
      <c r="E38" s="33" t="str">
        <f t="shared" si="19"/>
        <v>⚠️FLAMMABLE</v>
      </c>
      <c r="F38" s="57" t="str">
        <f t="shared" si="19"/>
        <v>⚠️FLAMMABLE</v>
      </c>
      <c r="G38" s="33" t="str">
        <f t="shared" si="19"/>
        <v>Safe-Low O2</v>
      </c>
      <c r="H38" s="33" t="str">
        <f t="shared" si="19"/>
        <v>Caution-Rich</v>
      </c>
      <c r="I38" s="33" t="str">
        <f t="shared" si="19"/>
        <v>Safe-Low O2</v>
      </c>
      <c r="J38" s="57" t="str">
        <f t="shared" si="19"/>
        <v>Caution-Rich</v>
      </c>
      <c r="K38" s="33" t="str">
        <f t="shared" si="19"/>
        <v>Safe-Low O2</v>
      </c>
      <c r="N38" s="39" t="s">
        <v>74</v>
      </c>
    </row>
    <row r="39" spans="1:17" x14ac:dyDescent="0.25">
      <c r="A39" s="32" t="s">
        <v>59</v>
      </c>
    </row>
    <row r="40" spans="1:17" x14ac:dyDescent="0.25">
      <c r="N40" s="30" t="s">
        <v>60</v>
      </c>
      <c r="O40" s="31"/>
      <c r="P40" s="31"/>
      <c r="Q40" s="31"/>
    </row>
    <row r="41" spans="1:17" x14ac:dyDescent="0.25">
      <c r="N41" s="5" t="s">
        <v>61</v>
      </c>
      <c r="O41" s="35">
        <f>J28</f>
        <v>75.754485024217416</v>
      </c>
    </row>
    <row r="42" spans="1:17" x14ac:dyDescent="0.25">
      <c r="N42" s="5" t="s">
        <v>62</v>
      </c>
      <c r="O42" s="36">
        <f>J33</f>
        <v>1.9744831882956226</v>
      </c>
    </row>
    <row r="43" spans="1:17" x14ac:dyDescent="0.25">
      <c r="N43" s="5" t="s">
        <v>63</v>
      </c>
      <c r="O43" s="37" t="str">
        <f>J38</f>
        <v>Caution-Rich</v>
      </c>
    </row>
    <row r="45" spans="1:17" x14ac:dyDescent="0.25">
      <c r="N45" s="34" t="s">
        <v>107</v>
      </c>
    </row>
    <row r="46" spans="1:17" x14ac:dyDescent="0.25">
      <c r="N46" s="34" t="s">
        <v>108</v>
      </c>
    </row>
    <row r="47" spans="1:17" x14ac:dyDescent="0.25">
      <c r="N47" s="32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0C55-6786-4783-A84E-84157B42E7BA}">
  <sheetPr codeName="Sheet3"/>
  <dimension ref="A1"/>
  <sheetViews>
    <sheetView workbookViewId="0">
      <selection activeCell="L36" sqref="L3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6D58-0ACC-41A1-B33A-78B1906180C7}">
  <sheetPr codeName="Sheet2"/>
  <dimension ref="A1:G32"/>
  <sheetViews>
    <sheetView workbookViewId="0">
      <selection activeCell="L19" sqref="L19"/>
    </sheetView>
  </sheetViews>
  <sheetFormatPr defaultRowHeight="15" x14ac:dyDescent="0.25"/>
  <sheetData>
    <row r="1" spans="1:7" ht="18.75" x14ac:dyDescent="0.3">
      <c r="A1" s="1" t="s">
        <v>76</v>
      </c>
      <c r="B1" s="2"/>
      <c r="C1" s="2"/>
      <c r="D1" s="2"/>
      <c r="E1" s="2"/>
      <c r="F1" s="2"/>
      <c r="G1" s="2"/>
    </row>
    <row r="3" spans="1:7" x14ac:dyDescent="0.25">
      <c r="A3" s="3" t="s">
        <v>77</v>
      </c>
      <c r="B3" s="4"/>
      <c r="C3" s="4"/>
      <c r="D3" s="4"/>
      <c r="E3" s="4"/>
      <c r="F3" s="4"/>
      <c r="G3" s="4"/>
    </row>
    <row r="5" spans="1:7" x14ac:dyDescent="0.25">
      <c r="A5" s="5" t="s">
        <v>78</v>
      </c>
      <c r="B5" s="44">
        <f>'PSA Model'!D4</f>
        <v>1</v>
      </c>
    </row>
    <row r="6" spans="1:7" x14ac:dyDescent="0.25">
      <c r="A6" s="5" t="s">
        <v>79</v>
      </c>
      <c r="B6" s="44">
        <f>'PSA Model'!F4</f>
        <v>0</v>
      </c>
    </row>
    <row r="8" spans="1:7" x14ac:dyDescent="0.25">
      <c r="A8" s="9" t="s">
        <v>80</v>
      </c>
      <c r="B8" s="9" t="s">
        <v>81</v>
      </c>
      <c r="C8" s="9" t="s">
        <v>82</v>
      </c>
      <c r="D8" s="9" t="s">
        <v>83</v>
      </c>
      <c r="E8" s="9" t="s">
        <v>84</v>
      </c>
      <c r="F8" s="9" t="s">
        <v>85</v>
      </c>
    </row>
    <row r="9" spans="1:7" x14ac:dyDescent="0.25">
      <c r="A9" s="45">
        <v>0</v>
      </c>
      <c r="B9" s="45">
        <v>0</v>
      </c>
      <c r="C9" s="46">
        <f>(1-'PSA Model'!C7/100)*(1-'PSA Model'!D7/100)*(1-B9)/(1-(1-'PSA Model'!C7/100)*(('PSA Model'!D7/100)*A9+(1-'PSA Model'!D7/100)*B9))*100</f>
        <v>69.7</v>
      </c>
      <c r="D9" s="46">
        <f>'PSA Model'!K28</f>
        <v>99.999435145784048</v>
      </c>
      <c r="E9" s="46">
        <f>'PSA Model'!B4*('PSA Model'!B7/100)*(C9/100)</f>
        <v>245.95736000000002</v>
      </c>
      <c r="F9" s="46">
        <f>'PSA Model'!J33</f>
        <v>1.9744831882956226</v>
      </c>
    </row>
    <row r="10" spans="1:7" x14ac:dyDescent="0.25">
      <c r="A10" s="45">
        <v>0.1</v>
      </c>
      <c r="B10" s="45">
        <v>0</v>
      </c>
      <c r="C10" s="46">
        <f>(1-'PSA Model'!C7/100)*(1-'PSA Model'!D7/100)*(1-B10)/(1-(1-'PSA Model'!C7/100)*(('PSA Model'!D7/100)*A10+(1-'PSA Model'!D7/100)*B10))*100</f>
        <v>70.567986230636834</v>
      </c>
      <c r="D10" s="46">
        <f>'PSA Model'!K28</f>
        <v>99.999435145784048</v>
      </c>
      <c r="E10" s="46">
        <f>'PSA Model'!B4*('PSA Model'!B7/100)*(C10/100)</f>
        <v>249.02030981067128</v>
      </c>
      <c r="F10" s="46">
        <f>'PSA Model'!J33</f>
        <v>1.9744831882956226</v>
      </c>
    </row>
    <row r="11" spans="1:7" x14ac:dyDescent="0.25">
      <c r="A11" s="45">
        <v>0.2</v>
      </c>
      <c r="B11" s="45">
        <v>0</v>
      </c>
      <c r="C11" s="46">
        <f>(1-'PSA Model'!C7/100)*(1-'PSA Model'!D7/100)*(1-B11)/(1-(1-'PSA Model'!C7/100)*(('PSA Model'!D7/100)*A11+(1-'PSA Model'!D7/100)*B11))*100</f>
        <v>71.457863440639741</v>
      </c>
      <c r="D11" s="46">
        <f>'PSA Model'!K28</f>
        <v>99.999435145784048</v>
      </c>
      <c r="E11" s="46">
        <f>'PSA Model'!B4*('PSA Model'!B7/100)*(C11/100)</f>
        <v>252.16050850932953</v>
      </c>
      <c r="F11" s="46">
        <f>'PSA Model'!J33</f>
        <v>1.9744831882956226</v>
      </c>
    </row>
    <row r="12" spans="1:7" x14ac:dyDescent="0.25">
      <c r="A12" s="45">
        <v>0.3</v>
      </c>
      <c r="B12" s="45">
        <v>0</v>
      </c>
      <c r="C12" s="46">
        <f>(1-'PSA Model'!C7/100)*(1-'PSA Model'!D7/100)*(1-B12)/(1-(1-'PSA Model'!C7/100)*(('PSA Model'!D7/100)*A12+(1-'PSA Model'!D7/100)*B12))*100</f>
        <v>72.370470356141638</v>
      </c>
      <c r="D12" s="46">
        <f>'PSA Model'!K28</f>
        <v>99.999435145784048</v>
      </c>
      <c r="E12" s="46">
        <f>'PSA Model'!B4*('PSA Model'!B7/100)*(C12/100)</f>
        <v>255.3809157927526</v>
      </c>
      <c r="F12" s="46">
        <f>'PSA Model'!J33</f>
        <v>1.9744831882956226</v>
      </c>
    </row>
    <row r="13" spans="1:7" x14ac:dyDescent="0.25">
      <c r="A13" s="45">
        <v>0.4</v>
      </c>
      <c r="B13" s="45">
        <v>0</v>
      </c>
      <c r="C13" s="46">
        <f>(1-'PSA Model'!C7/100)*(1-'PSA Model'!D7/100)*(1-B13)/(1-(1-'PSA Model'!C7/100)*(('PSA Model'!D7/100)*A13+(1-'PSA Model'!D7/100)*B13))*100</f>
        <v>73.306689103912504</v>
      </c>
      <c r="D13" s="46">
        <f>'PSA Model'!K28</f>
        <v>99.999435145784048</v>
      </c>
      <c r="E13" s="46">
        <f>'PSA Model'!B4*('PSA Model'!B7/100)*(C13/100)</f>
        <v>258.68464450988643</v>
      </c>
      <c r="F13" s="46">
        <f>'PSA Model'!J33</f>
        <v>1.9744831882956226</v>
      </c>
    </row>
    <row r="14" spans="1:7" x14ac:dyDescent="0.25">
      <c r="A14" s="45">
        <v>0.5</v>
      </c>
      <c r="B14" s="45">
        <v>0</v>
      </c>
      <c r="C14" s="46">
        <f>(1-'PSA Model'!C7/100)*(1-'PSA Model'!D7/100)*(1-B14)/(1-(1-'PSA Model'!C7/100)*(('PSA Model'!D7/100)*A14+(1-'PSA Model'!D7/100)*B14))*100</f>
        <v>74.26744805540757</v>
      </c>
      <c r="D14" s="46">
        <f>'PSA Model'!K28</f>
        <v>99.999435145784048</v>
      </c>
      <c r="E14" s="46">
        <f>'PSA Model'!B4*('PSA Model'!B7/100)*(C14/100)</f>
        <v>262.07497069792225</v>
      </c>
      <c r="F14" s="46">
        <f>'PSA Model'!J33</f>
        <v>1.9744831882956226</v>
      </c>
    </row>
    <row r="15" spans="1:7" x14ac:dyDescent="0.25">
      <c r="A15" s="45">
        <v>0.5</v>
      </c>
      <c r="B15" s="45">
        <v>0.1</v>
      </c>
      <c r="C15" s="46">
        <f>(1-'PSA Model'!C7/100)*(1-'PSA Model'!D7/100)*(1-B15)/(1-(1-'PSA Model'!C7/100)*(('PSA Model'!D7/100)*A15+(1-'PSA Model'!D7/100)*B15))*100</f>
        <v>72.203038674033166</v>
      </c>
      <c r="D15" s="46">
        <f>'PSA Model'!K28</f>
        <v>99.999435145784048</v>
      </c>
      <c r="E15" s="46">
        <f>'PSA Model'!B4*('PSA Model'!B7/100)*(C15/100)</f>
        <v>254.79008287292825</v>
      </c>
      <c r="F15" s="46">
        <f>'PSA Model'!J33</f>
        <v>1.9744831882956226</v>
      </c>
    </row>
    <row r="16" spans="1:7" x14ac:dyDescent="0.25">
      <c r="A16" s="45">
        <v>0.5</v>
      </c>
      <c r="B16" s="45">
        <v>0.2</v>
      </c>
      <c r="C16" s="46">
        <f>(1-'PSA Model'!C7/100)*(1-'PSA Model'!D7/100)*(1-B16)/(1-(1-'PSA Model'!C7/100)*(('PSA Model'!D7/100)*A16+(1-'PSA Model'!D7/100)*B16))*100</f>
        <v>69.778500813415107</v>
      </c>
      <c r="D16" s="46">
        <f>'PSA Model'!K28</f>
        <v>99.999435145784048</v>
      </c>
      <c r="E16" s="46">
        <f>'PSA Model'!B4*('PSA Model'!B7/100)*(C16/100)</f>
        <v>246.23437367037926</v>
      </c>
      <c r="F16" s="46">
        <f>'PSA Model'!J33</f>
        <v>1.9744831882956226</v>
      </c>
    </row>
    <row r="17" spans="1:6" x14ac:dyDescent="0.25">
      <c r="A17" s="45">
        <v>0.6</v>
      </c>
      <c r="B17" s="45">
        <v>0.1</v>
      </c>
      <c r="C17" s="46">
        <f>(1-'PSA Model'!C7/100)*(1-'PSA Model'!D7/100)*(1-B17)/(1-(1-'PSA Model'!C7/100)*(('PSA Model'!D7/100)*A17+(1-'PSA Model'!D7/100)*B17))*100</f>
        <v>73.23992994746061</v>
      </c>
      <c r="D17" s="46">
        <f>'PSA Model'!K28</f>
        <v>99.999435145784048</v>
      </c>
      <c r="E17" s="46">
        <f>'PSA Model'!B4*('PSA Model'!B7/100)*(C17/100)</f>
        <v>258.44906479859901</v>
      </c>
      <c r="F17" s="46">
        <f>'PSA Model'!J33</f>
        <v>1.9744831882956226</v>
      </c>
    </row>
    <row r="18" spans="1:6" x14ac:dyDescent="0.25">
      <c r="A18" s="45">
        <v>0.7</v>
      </c>
      <c r="B18" s="45">
        <v>0.1</v>
      </c>
      <c r="C18" s="46">
        <f>(1-'PSA Model'!C7/100)*(1-'PSA Model'!D7/100)*(1-B18)/(1-(1-'PSA Model'!C7/100)*(('PSA Model'!D7/100)*A18+(1-'PSA Model'!D7/100)*B18))*100</f>
        <v>74.307036247334764</v>
      </c>
      <c r="D18" s="46">
        <f>'PSA Model'!K28</f>
        <v>99.999435145784048</v>
      </c>
      <c r="E18" s="46">
        <f>'PSA Model'!B4*('PSA Model'!B7/100)*(C18/100)</f>
        <v>262.2146695095949</v>
      </c>
      <c r="F18" s="46">
        <f>'PSA Model'!J33</f>
        <v>1.9744831882956226</v>
      </c>
    </row>
    <row r="20" spans="1:6" x14ac:dyDescent="0.25">
      <c r="A20" s="5" t="s">
        <v>86</v>
      </c>
    </row>
    <row r="21" spans="1:6" x14ac:dyDescent="0.25">
      <c r="A21" t="s">
        <v>87</v>
      </c>
    </row>
    <row r="22" spans="1:6" x14ac:dyDescent="0.25">
      <c r="A22" t="s">
        <v>88</v>
      </c>
    </row>
    <row r="23" spans="1:6" x14ac:dyDescent="0.25">
      <c r="A23" t="s">
        <v>89</v>
      </c>
    </row>
    <row r="24" spans="1:6" x14ac:dyDescent="0.25">
      <c r="A24" t="s">
        <v>90</v>
      </c>
    </row>
    <row r="25" spans="1:6" x14ac:dyDescent="0.25">
      <c r="A25" t="s">
        <v>91</v>
      </c>
    </row>
    <row r="27" spans="1:6" x14ac:dyDescent="0.25">
      <c r="A27" s="3" t="s">
        <v>92</v>
      </c>
      <c r="B27" s="4"/>
      <c r="C27" s="4"/>
      <c r="D27" s="4"/>
      <c r="E27" s="4"/>
      <c r="F27" s="4"/>
    </row>
    <row r="28" spans="1:6" x14ac:dyDescent="0.25">
      <c r="A28" t="s">
        <v>93</v>
      </c>
    </row>
    <row r="29" spans="1:6" x14ac:dyDescent="0.25">
      <c r="A29" t="s">
        <v>94</v>
      </c>
    </row>
    <row r="30" spans="1:6" x14ac:dyDescent="0.25">
      <c r="A30" t="s">
        <v>95</v>
      </c>
    </row>
    <row r="31" spans="1:6" x14ac:dyDescent="0.25">
      <c r="A31" t="s">
        <v>96</v>
      </c>
    </row>
    <row r="32" spans="1:6" x14ac:dyDescent="0.25">
      <c r="A32" t="s">
        <v>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C1DE-CF8F-4358-8F99-DBD3A2E144B0}">
  <sheetPr codeName="Sheet4"/>
  <dimension ref="A1:I35"/>
  <sheetViews>
    <sheetView workbookViewId="0"/>
  </sheetViews>
  <sheetFormatPr defaultRowHeight="15" x14ac:dyDescent="0.25"/>
  <sheetData>
    <row r="1" spans="1:6" ht="18.75" x14ac:dyDescent="0.3">
      <c r="A1" s="60" t="s">
        <v>110</v>
      </c>
    </row>
    <row r="2" spans="1:6" x14ac:dyDescent="0.25">
      <c r="A2" t="s">
        <v>111</v>
      </c>
    </row>
    <row r="4" spans="1:6" x14ac:dyDescent="0.25">
      <c r="A4" s="61" t="s">
        <v>112</v>
      </c>
      <c r="B4" s="62"/>
      <c r="C4" s="62"/>
      <c r="D4" s="62"/>
      <c r="E4" s="62"/>
      <c r="F4" s="62"/>
    </row>
    <row r="5" spans="1:6" x14ac:dyDescent="0.25">
      <c r="A5" t="s">
        <v>113</v>
      </c>
      <c r="B5" t="s">
        <v>114</v>
      </c>
      <c r="C5" t="s">
        <v>115</v>
      </c>
      <c r="D5" t="s">
        <v>116</v>
      </c>
    </row>
    <row r="6" spans="1:6" x14ac:dyDescent="0.25">
      <c r="A6">
        <v>0.5</v>
      </c>
      <c r="B6">
        <v>81</v>
      </c>
      <c r="C6">
        <f>B6-80</f>
        <v>1</v>
      </c>
      <c r="D6" s="63" t="s">
        <v>117</v>
      </c>
    </row>
    <row r="7" spans="1:6" x14ac:dyDescent="0.25">
      <c r="A7">
        <v>1</v>
      </c>
      <c r="B7">
        <v>90</v>
      </c>
      <c r="C7">
        <f>B7-80</f>
        <v>10</v>
      </c>
      <c r="D7" s="63" t="s">
        <v>117</v>
      </c>
    </row>
    <row r="8" spans="1:6" x14ac:dyDescent="0.25">
      <c r="A8">
        <v>2</v>
      </c>
      <c r="B8">
        <v>95</v>
      </c>
      <c r="C8">
        <f>B8-80</f>
        <v>15</v>
      </c>
      <c r="D8" s="63" t="s">
        <v>117</v>
      </c>
    </row>
    <row r="9" spans="1:6" x14ac:dyDescent="0.25">
      <c r="A9">
        <v>5</v>
      </c>
      <c r="B9">
        <v>98</v>
      </c>
      <c r="C9">
        <f>B9-80</f>
        <v>18</v>
      </c>
      <c r="D9" s="63" t="s">
        <v>117</v>
      </c>
    </row>
    <row r="11" spans="1:6" x14ac:dyDescent="0.25">
      <c r="A11" s="5" t="s">
        <v>118</v>
      </c>
    </row>
    <row r="12" spans="1:6" x14ac:dyDescent="0.25">
      <c r="A12" t="s">
        <v>119</v>
      </c>
    </row>
    <row r="13" spans="1:6" x14ac:dyDescent="0.25">
      <c r="A13" t="s">
        <v>120</v>
      </c>
    </row>
    <row r="14" spans="1:6" x14ac:dyDescent="0.25">
      <c r="A14" t="s">
        <v>121</v>
      </c>
    </row>
    <row r="16" spans="1:6" x14ac:dyDescent="0.25">
      <c r="A16" s="3" t="s">
        <v>122</v>
      </c>
      <c r="B16" s="4"/>
      <c r="C16" s="4"/>
      <c r="D16" s="4"/>
      <c r="E16" s="4"/>
    </row>
    <row r="17" spans="1:9" x14ac:dyDescent="0.25">
      <c r="A17" s="5" t="s">
        <v>123</v>
      </c>
      <c r="B17" s="5" t="s">
        <v>124</v>
      </c>
      <c r="C17" s="5" t="s">
        <v>125</v>
      </c>
      <c r="D17" s="5" t="s">
        <v>126</v>
      </c>
      <c r="E17" s="5" t="s">
        <v>127</v>
      </c>
      <c r="G17" s="5" t="s">
        <v>128</v>
      </c>
      <c r="H17" s="63">
        <v>2</v>
      </c>
      <c r="I17" s="5" t="s">
        <v>129</v>
      </c>
    </row>
    <row r="18" spans="1:9" x14ac:dyDescent="0.25">
      <c r="A18">
        <v>50</v>
      </c>
      <c r="B18">
        <v>7.91</v>
      </c>
      <c r="C18">
        <v>14.66</v>
      </c>
      <c r="D18">
        <v>25.57</v>
      </c>
      <c r="E18">
        <v>46.2</v>
      </c>
    </row>
    <row r="19" spans="1:9" x14ac:dyDescent="0.25">
      <c r="A19">
        <v>55</v>
      </c>
      <c r="B19">
        <v>6.56</v>
      </c>
      <c r="C19">
        <v>12.32</v>
      </c>
      <c r="D19">
        <v>21.94</v>
      </c>
      <c r="E19">
        <v>41.26</v>
      </c>
    </row>
    <row r="20" spans="1:9" x14ac:dyDescent="0.25">
      <c r="A20">
        <v>60</v>
      </c>
      <c r="B20">
        <v>5.41</v>
      </c>
      <c r="C20">
        <v>10.27</v>
      </c>
      <c r="D20">
        <v>18.63</v>
      </c>
      <c r="E20">
        <v>36.4</v>
      </c>
    </row>
    <row r="21" spans="1:9" x14ac:dyDescent="0.25">
      <c r="A21">
        <v>65</v>
      </c>
      <c r="B21">
        <v>4.42</v>
      </c>
      <c r="C21">
        <v>8.4600000000000009</v>
      </c>
      <c r="D21">
        <v>15.61</v>
      </c>
      <c r="E21">
        <v>31.62</v>
      </c>
    </row>
    <row r="22" spans="1:9" x14ac:dyDescent="0.25">
      <c r="A22">
        <v>70</v>
      </c>
      <c r="B22">
        <v>3.55</v>
      </c>
      <c r="C22">
        <v>6.86</v>
      </c>
      <c r="D22">
        <v>12.83</v>
      </c>
      <c r="E22">
        <v>26.9</v>
      </c>
    </row>
    <row r="23" spans="1:9" x14ac:dyDescent="0.25">
      <c r="A23">
        <v>75</v>
      </c>
      <c r="B23">
        <v>2.78</v>
      </c>
      <c r="C23">
        <v>5.41</v>
      </c>
      <c r="D23">
        <v>10.27</v>
      </c>
      <c r="E23">
        <v>22.25</v>
      </c>
    </row>
    <row r="24" spans="1:9" x14ac:dyDescent="0.25">
      <c r="A24">
        <v>80</v>
      </c>
      <c r="B24" s="61">
        <v>2.1</v>
      </c>
      <c r="C24" s="62">
        <v>4.12</v>
      </c>
      <c r="D24" s="62">
        <v>7.91</v>
      </c>
      <c r="E24" s="62">
        <v>17.670000000000002</v>
      </c>
      <c r="G24" s="64" t="s">
        <v>130</v>
      </c>
    </row>
    <row r="25" spans="1:9" x14ac:dyDescent="0.25">
      <c r="A25">
        <v>85</v>
      </c>
      <c r="B25" s="65">
        <v>1.49</v>
      </c>
      <c r="C25">
        <v>2.94</v>
      </c>
      <c r="D25">
        <v>5.72</v>
      </c>
      <c r="E25">
        <v>13.16</v>
      </c>
    </row>
    <row r="26" spans="1:9" x14ac:dyDescent="0.25">
      <c r="A26">
        <v>90</v>
      </c>
      <c r="B26" s="65">
        <v>0.95</v>
      </c>
      <c r="C26" s="65">
        <v>1.87</v>
      </c>
      <c r="D26">
        <v>3.68</v>
      </c>
      <c r="E26">
        <v>8.7100000000000009</v>
      </c>
    </row>
    <row r="27" spans="1:9" x14ac:dyDescent="0.25">
      <c r="A27">
        <v>95</v>
      </c>
      <c r="B27" s="65">
        <v>0.45</v>
      </c>
      <c r="C27" s="65">
        <v>0.9</v>
      </c>
      <c r="D27" s="65">
        <v>1.78</v>
      </c>
      <c r="E27" s="65">
        <v>4.32</v>
      </c>
      <c r="G27" s="66" t="s">
        <v>131</v>
      </c>
    </row>
    <row r="30" spans="1:9" x14ac:dyDescent="0.25">
      <c r="A30" s="5" t="s">
        <v>27</v>
      </c>
    </row>
    <row r="31" spans="1:9" x14ac:dyDescent="0.25">
      <c r="A31" s="65"/>
      <c r="B31" t="s">
        <v>132</v>
      </c>
    </row>
    <row r="32" spans="1:9" x14ac:dyDescent="0.25">
      <c r="A32" s="62"/>
      <c r="B32" t="s">
        <v>133</v>
      </c>
    </row>
    <row r="34" spans="1:1" x14ac:dyDescent="0.25">
      <c r="A34" t="s">
        <v>134</v>
      </c>
    </row>
    <row r="35" spans="1:1" x14ac:dyDescent="0.25">
      <c r="A3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PSA Model</vt:lpstr>
      <vt:lpstr>PFD</vt:lpstr>
      <vt:lpstr>Sensitivity</vt:lpstr>
      <vt:lpstr>O2 Safety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Dieter Olson</cp:lastModifiedBy>
  <dcterms:created xsi:type="dcterms:W3CDTF">2026-01-21T03:37:32Z</dcterms:created>
  <dcterms:modified xsi:type="dcterms:W3CDTF">2026-01-21T20:51:17Z</dcterms:modified>
</cp:coreProperties>
</file>