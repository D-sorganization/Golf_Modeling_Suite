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terolson\Dropbox\Work\PSA\PSA Testing Results\"/>
    </mc:Choice>
  </mc:AlternateContent>
  <xr:revisionPtr revIDLastSave="0" documentId="13_ncr:1_{FD0D8FCD-CEFC-469E-A17D-CF94B63FA55C}" xr6:coauthVersionLast="32" xr6:coauthVersionMax="32" xr10:uidLastSave="{00000000-0000-0000-0000-000000000000}"/>
  <bookViews>
    <workbookView xWindow="0" yWindow="0" windowWidth="19200" windowHeight="6624" xr2:uid="{3B2CD82F-C7A7-4C14-AEEF-276BA5926373}"/>
  </bookViews>
  <sheets>
    <sheet name="H2 Samples" sheetId="1" r:id="rId1"/>
    <sheet name="Feed Gas Samples" sheetId="2" r:id="rId2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E6" i="1"/>
  <c r="E10" i="1"/>
  <c r="F10" i="1"/>
  <c r="G10" i="1"/>
  <c r="H10" i="1"/>
  <c r="H16" i="1" s="1"/>
  <c r="H17" i="1" s="1"/>
  <c r="I10" i="1"/>
  <c r="E11" i="1"/>
  <c r="F11" i="1"/>
  <c r="G11" i="1"/>
  <c r="H11" i="1"/>
  <c r="I11" i="1"/>
  <c r="E12" i="1"/>
  <c r="F12" i="1"/>
  <c r="G12" i="1"/>
  <c r="H12" i="1"/>
  <c r="I12" i="1"/>
  <c r="E13" i="1"/>
  <c r="E16" i="1" s="1"/>
  <c r="E17" i="1" s="1"/>
  <c r="F13" i="1"/>
  <c r="G13" i="1"/>
  <c r="H13" i="1"/>
  <c r="I13" i="1"/>
  <c r="I16" i="1" s="1"/>
  <c r="I17" i="1" s="1"/>
  <c r="E14" i="1"/>
  <c r="F14" i="1"/>
  <c r="G14" i="1"/>
  <c r="H14" i="1"/>
  <c r="I14" i="1"/>
  <c r="E15" i="1"/>
  <c r="F15" i="1"/>
  <c r="G15" i="1"/>
  <c r="H15" i="1"/>
  <c r="I15" i="1"/>
  <c r="F16" i="1"/>
  <c r="F17" i="1" s="1"/>
  <c r="E22" i="1"/>
  <c r="F22" i="1"/>
  <c r="G22" i="1"/>
  <c r="H22" i="1"/>
  <c r="I22" i="1"/>
  <c r="E29" i="1"/>
  <c r="F29" i="1"/>
  <c r="G29" i="1"/>
  <c r="H29" i="1"/>
  <c r="I29" i="1"/>
  <c r="G16" i="1" l="1"/>
  <c r="G17" i="1" s="1"/>
  <c r="C22" i="1"/>
  <c r="D22" i="1"/>
  <c r="B22" i="1"/>
  <c r="C29" i="1"/>
  <c r="D29" i="1"/>
  <c r="B29" i="1"/>
  <c r="D6" i="1" l="1"/>
  <c r="D13" i="1" s="1"/>
  <c r="C10" i="1"/>
  <c r="D10" i="1"/>
  <c r="C11" i="1"/>
  <c r="D11" i="1"/>
  <c r="C12" i="1"/>
  <c r="D12" i="1"/>
  <c r="C13" i="1"/>
  <c r="C14" i="1"/>
  <c r="C16" i="1" s="1"/>
  <c r="C17" i="1" s="1"/>
  <c r="D14" i="1"/>
  <c r="C15" i="1"/>
  <c r="D15" i="1"/>
  <c r="D16" i="1" l="1"/>
  <c r="D17" i="1" s="1"/>
  <c r="B13" i="1"/>
  <c r="B11" i="1"/>
  <c r="B12" i="1"/>
  <c r="B14" i="1"/>
  <c r="B15" i="1"/>
  <c r="B10" i="1"/>
  <c r="B16" i="1" s="1"/>
  <c r="B17" i="1" s="1"/>
</calcChain>
</file>

<file path=xl/sharedStrings.xml><?xml version="1.0" encoding="utf-8"?>
<sst xmlns="http://schemas.openxmlformats.org/spreadsheetml/2006/main" count="61" uniqueCount="38">
  <si>
    <t>Oxygen</t>
  </si>
  <si>
    <t>H2O</t>
  </si>
  <si>
    <t>THC</t>
  </si>
  <si>
    <t>Nitrogen</t>
  </si>
  <si>
    <t>Carbon Dioxide</t>
  </si>
  <si>
    <t>Carbon Monoxide</t>
  </si>
  <si>
    <t>vol%</t>
  </si>
  <si>
    <t>ppm</t>
  </si>
  <si>
    <t>Total Contaminants</t>
  </si>
  <si>
    <t>Purity</t>
  </si>
  <si>
    <t>% purity</t>
  </si>
  <si>
    <t>Units</t>
  </si>
  <si>
    <t>All Components in ppm</t>
  </si>
  <si>
    <t>Raw Data</t>
  </si>
  <si>
    <t>Time at Stable Operation</t>
  </si>
  <si>
    <t>hours</t>
  </si>
  <si>
    <t>Blank</t>
  </si>
  <si>
    <t>PSA Feed Flow</t>
  </si>
  <si>
    <t>PSA H2 Flow</t>
  </si>
  <si>
    <t>PSA Valve Speed</t>
  </si>
  <si>
    <t>Inlet Composition:</t>
  </si>
  <si>
    <t>H2</t>
  </si>
  <si>
    <t>CO</t>
  </si>
  <si>
    <t>CO2</t>
  </si>
  <si>
    <t>CH4</t>
  </si>
  <si>
    <t>N2</t>
  </si>
  <si>
    <t>NA</t>
  </si>
  <si>
    <t>SCFM</t>
  </si>
  <si>
    <t>RPH</t>
  </si>
  <si>
    <t>vol% dry</t>
  </si>
  <si>
    <t>Total</t>
  </si>
  <si>
    <t>Recovery (100% Purity)</t>
  </si>
  <si>
    <t>%</t>
  </si>
  <si>
    <t>Sample 1</t>
  </si>
  <si>
    <t>Sample 2</t>
  </si>
  <si>
    <t>Sample 1 No Air</t>
  </si>
  <si>
    <t>Sample 2 No Air</t>
  </si>
  <si>
    <t>Sample: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</si>
</sst>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8" xfId="0" applyBorder="1"/>
    <xf numFmtId="16" fontId="0" fillId="0" borderId="9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indent="2"/>
    </xf>
    <xf numFmtId="0" fontId="0" fillId="0" borderId="6" xfId="0" applyBorder="1" applyAlignment="1">
      <alignment horizontal="left" indent="2"/>
    </xf>
    <xf numFmtId="0" fontId="0" fillId="0" borderId="2" xfId="0" applyBorder="1" applyAlignment="1">
      <alignment horizontal="left" indent="2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19" xfId="0" applyBorder="1"/>
    <xf numFmtId="0" fontId="0" fillId="0" borderId="19" xfId="0" applyBorder="1" applyAlignment="1">
      <alignment horizontal="left" indent="2"/>
    </xf>
    <xf numFmtId="0" fontId="0" fillId="0" borderId="20" xfId="0" applyBorder="1" applyAlignment="1">
      <alignment horizontal="left" indent="2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A9BA-5314-48CF-A30C-C13135784097}">
  <dimension ref="A1:J29"/>
  <sheetViews>
    <sheetView tabSelected="1" workbookViewId="0">
      <selection activeCell="G17" sqref="G17"/>
    </sheetView>
  </sheetViews>
  <sheetFormatPr defaultRowHeight="14.4" x14ac:dyDescent="0.3"/>
  <cols>
    <col min="1" max="1" width="19.88671875" bestFit="1" customWidth="1"/>
    <col min="2" max="3" width="8.88671875" style="6"/>
    <col min="4" max="4" width="10" style="6" bestFit="1" customWidth="1"/>
    <col min="5" max="10" width="8.88671875" style="6"/>
  </cols>
  <sheetData>
    <row r="1" spans="1:10" ht="29.4" thickBot="1" x14ac:dyDescent="0.35">
      <c r="A1" s="28" t="s">
        <v>37</v>
      </c>
      <c r="B1" s="44"/>
      <c r="C1" s="45"/>
      <c r="D1" s="45"/>
      <c r="E1" s="45" t="s">
        <v>33</v>
      </c>
      <c r="F1" s="45" t="s">
        <v>34</v>
      </c>
      <c r="G1" s="45" t="s">
        <v>35</v>
      </c>
      <c r="H1" s="45" t="s">
        <v>36</v>
      </c>
      <c r="I1" s="45"/>
      <c r="J1" s="19"/>
    </row>
    <row r="2" spans="1:10" ht="15" thickBot="1" x14ac:dyDescent="0.35">
      <c r="A2" s="3" t="s">
        <v>13</v>
      </c>
      <c r="B2" s="4">
        <v>43209</v>
      </c>
      <c r="C2" s="4">
        <v>43215</v>
      </c>
      <c r="D2" s="4" t="s">
        <v>16</v>
      </c>
      <c r="E2" s="4">
        <v>43245</v>
      </c>
      <c r="F2" s="4">
        <v>43245</v>
      </c>
      <c r="G2" s="4">
        <v>43245</v>
      </c>
      <c r="H2" s="4">
        <v>43245</v>
      </c>
      <c r="I2" s="4"/>
      <c r="J2" s="19" t="s">
        <v>11</v>
      </c>
    </row>
    <row r="3" spans="1:10" x14ac:dyDescent="0.3">
      <c r="A3" s="10" t="s">
        <v>0</v>
      </c>
      <c r="B3" s="14">
        <v>786.1</v>
      </c>
      <c r="C3" s="22">
        <v>2092</v>
      </c>
      <c r="D3" s="22">
        <v>0.23</v>
      </c>
      <c r="E3" s="22">
        <v>78.400000000000006</v>
      </c>
      <c r="F3" s="22">
        <f>0.0091*1000000</f>
        <v>9100</v>
      </c>
      <c r="G3" s="22">
        <v>0</v>
      </c>
      <c r="H3" s="22">
        <v>0</v>
      </c>
      <c r="I3" s="22"/>
      <c r="J3" s="29" t="s">
        <v>7</v>
      </c>
    </row>
    <row r="4" spans="1:10" x14ac:dyDescent="0.3">
      <c r="A4" s="10" t="s">
        <v>1</v>
      </c>
      <c r="B4" s="15">
        <v>22</v>
      </c>
      <c r="C4" s="23">
        <v>22</v>
      </c>
      <c r="D4" s="23">
        <v>18.5</v>
      </c>
      <c r="E4" s="23">
        <v>22</v>
      </c>
      <c r="F4" s="23">
        <v>22</v>
      </c>
      <c r="G4" s="23">
        <v>22</v>
      </c>
      <c r="H4" s="23">
        <v>22</v>
      </c>
      <c r="I4" s="23"/>
      <c r="J4" s="29" t="s">
        <v>7</v>
      </c>
    </row>
    <row r="5" spans="1:10" x14ac:dyDescent="0.3">
      <c r="A5" s="10" t="s">
        <v>2</v>
      </c>
      <c r="B5" s="15">
        <v>21.11</v>
      </c>
      <c r="C5" s="23">
        <v>58.8</v>
      </c>
      <c r="D5" s="23">
        <v>0.01</v>
      </c>
      <c r="E5" s="23">
        <v>1.51</v>
      </c>
      <c r="F5" s="23">
        <v>50.7</v>
      </c>
      <c r="G5" s="23">
        <v>1.51</v>
      </c>
      <c r="H5" s="23">
        <v>50.7</v>
      </c>
      <c r="I5" s="23"/>
      <c r="J5" s="29" t="s">
        <v>7</v>
      </c>
    </row>
    <row r="6" spans="1:10" x14ac:dyDescent="0.3">
      <c r="A6" s="10" t="s">
        <v>3</v>
      </c>
      <c r="B6" s="15">
        <v>0.81</v>
      </c>
      <c r="C6" s="23">
        <v>0.93</v>
      </c>
      <c r="D6" s="23">
        <f>24.2/1000000</f>
        <v>2.4199999999999999E-5</v>
      </c>
      <c r="E6" s="23">
        <f>264.7/1000000</f>
        <v>2.6469999999999998E-4</v>
      </c>
      <c r="F6" s="23">
        <v>2.1</v>
      </c>
      <c r="G6" s="23">
        <v>0</v>
      </c>
      <c r="H6" s="23">
        <v>0</v>
      </c>
      <c r="I6" s="23"/>
      <c r="J6" s="29" t="s">
        <v>6</v>
      </c>
    </row>
    <row r="7" spans="1:10" x14ac:dyDescent="0.3">
      <c r="A7" s="10" t="s">
        <v>4</v>
      </c>
      <c r="B7" s="15">
        <v>5.0199999999999996</v>
      </c>
      <c r="C7" s="23">
        <v>442</v>
      </c>
      <c r="D7" s="23">
        <v>10.4</v>
      </c>
      <c r="E7" s="23">
        <v>1</v>
      </c>
      <c r="F7" s="23">
        <v>35</v>
      </c>
      <c r="G7" s="23">
        <v>1</v>
      </c>
      <c r="H7" s="23">
        <v>35</v>
      </c>
      <c r="I7" s="23"/>
      <c r="J7" s="29" t="s">
        <v>7</v>
      </c>
    </row>
    <row r="8" spans="1:10" ht="15" thickBot="1" x14ac:dyDescent="0.35">
      <c r="A8" s="11" t="s">
        <v>5</v>
      </c>
      <c r="B8" s="17">
        <v>47.2</v>
      </c>
      <c r="C8" s="24">
        <v>142.6</v>
      </c>
      <c r="D8" s="24">
        <v>1.69</v>
      </c>
      <c r="E8" s="24">
        <v>1</v>
      </c>
      <c r="F8" s="24">
        <v>166.9</v>
      </c>
      <c r="G8" s="24">
        <v>1</v>
      </c>
      <c r="H8" s="24">
        <v>166.9</v>
      </c>
      <c r="I8" s="24"/>
      <c r="J8" s="30" t="s">
        <v>7</v>
      </c>
    </row>
    <row r="9" spans="1:10" ht="15" thickBot="1" x14ac:dyDescent="0.35">
      <c r="A9" s="13" t="s">
        <v>12</v>
      </c>
      <c r="B9" s="5"/>
      <c r="C9" s="5"/>
      <c r="D9" s="5"/>
      <c r="E9" s="5"/>
      <c r="F9" s="5"/>
      <c r="G9" s="5"/>
      <c r="H9" s="5"/>
      <c r="I9" s="5"/>
      <c r="J9" s="29"/>
    </row>
    <row r="10" spans="1:10" x14ac:dyDescent="0.3">
      <c r="A10" s="12" t="s">
        <v>0</v>
      </c>
      <c r="B10" s="14">
        <f>B3</f>
        <v>786.1</v>
      </c>
      <c r="C10" s="22">
        <f t="shared" ref="C10:E10" si="0">C3</f>
        <v>2092</v>
      </c>
      <c r="D10" s="22">
        <f t="shared" si="0"/>
        <v>0.23</v>
      </c>
      <c r="E10" s="22">
        <f t="shared" si="0"/>
        <v>78.400000000000006</v>
      </c>
      <c r="F10" s="22">
        <f t="shared" ref="F10:I10" si="1">F3</f>
        <v>9100</v>
      </c>
      <c r="G10" s="22">
        <f t="shared" si="1"/>
        <v>0</v>
      </c>
      <c r="H10" s="22">
        <f t="shared" ref="H10" si="2">H3</f>
        <v>0</v>
      </c>
      <c r="I10" s="22">
        <f t="shared" si="1"/>
        <v>0</v>
      </c>
      <c r="J10" s="31" t="s">
        <v>7</v>
      </c>
    </row>
    <row r="11" spans="1:10" x14ac:dyDescent="0.3">
      <c r="A11" s="10" t="s">
        <v>1</v>
      </c>
      <c r="B11" s="15">
        <f>B4</f>
        <v>22</v>
      </c>
      <c r="C11" s="23">
        <f t="shared" ref="C11:E11" si="3">C4</f>
        <v>22</v>
      </c>
      <c r="D11" s="23">
        <f t="shared" si="3"/>
        <v>18.5</v>
      </c>
      <c r="E11" s="23">
        <f t="shared" si="3"/>
        <v>22</v>
      </c>
      <c r="F11" s="23">
        <f t="shared" ref="F11:I11" si="4">F4</f>
        <v>22</v>
      </c>
      <c r="G11" s="23">
        <f t="shared" si="4"/>
        <v>22</v>
      </c>
      <c r="H11" s="23">
        <f t="shared" ref="H11" si="5">H4</f>
        <v>22</v>
      </c>
      <c r="I11" s="23">
        <f t="shared" si="4"/>
        <v>0</v>
      </c>
      <c r="J11" s="29" t="s">
        <v>7</v>
      </c>
    </row>
    <row r="12" spans="1:10" x14ac:dyDescent="0.3">
      <c r="A12" s="10" t="s">
        <v>2</v>
      </c>
      <c r="B12" s="15">
        <f>B5</f>
        <v>21.11</v>
      </c>
      <c r="C12" s="23">
        <f t="shared" ref="C12:E12" si="6">C5</f>
        <v>58.8</v>
      </c>
      <c r="D12" s="23">
        <f t="shared" si="6"/>
        <v>0.01</v>
      </c>
      <c r="E12" s="23">
        <f t="shared" si="6"/>
        <v>1.51</v>
      </c>
      <c r="F12" s="23">
        <f t="shared" ref="F12:I12" si="7">F5</f>
        <v>50.7</v>
      </c>
      <c r="G12" s="23">
        <f t="shared" si="7"/>
        <v>1.51</v>
      </c>
      <c r="H12" s="23">
        <f t="shared" ref="H12" si="8">H5</f>
        <v>50.7</v>
      </c>
      <c r="I12" s="23">
        <f t="shared" si="7"/>
        <v>0</v>
      </c>
      <c r="J12" s="29" t="s">
        <v>7</v>
      </c>
    </row>
    <row r="13" spans="1:10" x14ac:dyDescent="0.3">
      <c r="A13" s="10" t="s">
        <v>3</v>
      </c>
      <c r="B13" s="15">
        <f>B6/100*1000000</f>
        <v>8100.0000000000009</v>
      </c>
      <c r="C13" s="23">
        <f t="shared" ref="C13:E13" si="9">C6/100*1000000</f>
        <v>9300.0000000000018</v>
      </c>
      <c r="D13" s="23">
        <f t="shared" si="9"/>
        <v>0.24199999999999997</v>
      </c>
      <c r="E13" s="23">
        <f t="shared" si="9"/>
        <v>2.6469999999999998</v>
      </c>
      <c r="F13" s="23">
        <f t="shared" ref="F13:I13" si="10">F6/100*1000000</f>
        <v>21000</v>
      </c>
      <c r="G13" s="23">
        <f t="shared" si="10"/>
        <v>0</v>
      </c>
      <c r="H13" s="23">
        <f t="shared" ref="H13" si="11">H6/100*1000000</f>
        <v>0</v>
      </c>
      <c r="I13" s="23">
        <f t="shared" si="10"/>
        <v>0</v>
      </c>
      <c r="J13" s="29" t="s">
        <v>7</v>
      </c>
    </row>
    <row r="14" spans="1:10" x14ac:dyDescent="0.3">
      <c r="A14" s="10" t="s">
        <v>4</v>
      </c>
      <c r="B14" s="15">
        <f>B7</f>
        <v>5.0199999999999996</v>
      </c>
      <c r="C14" s="23">
        <f t="shared" ref="C14:E14" si="12">C7</f>
        <v>442</v>
      </c>
      <c r="D14" s="23">
        <f t="shared" si="12"/>
        <v>10.4</v>
      </c>
      <c r="E14" s="23">
        <f t="shared" si="12"/>
        <v>1</v>
      </c>
      <c r="F14" s="23">
        <f t="shared" ref="F14:I14" si="13">F7</f>
        <v>35</v>
      </c>
      <c r="G14" s="23">
        <f t="shared" si="13"/>
        <v>1</v>
      </c>
      <c r="H14" s="23">
        <f t="shared" ref="H14" si="14">H7</f>
        <v>35</v>
      </c>
      <c r="I14" s="23">
        <f t="shared" si="13"/>
        <v>0</v>
      </c>
      <c r="J14" s="29" t="s">
        <v>7</v>
      </c>
    </row>
    <row r="15" spans="1:10" ht="15" thickBot="1" x14ac:dyDescent="0.35">
      <c r="A15" s="11" t="s">
        <v>5</v>
      </c>
      <c r="B15" s="17">
        <f>B8</f>
        <v>47.2</v>
      </c>
      <c r="C15" s="24">
        <f t="shared" ref="C15:E15" si="15">C8</f>
        <v>142.6</v>
      </c>
      <c r="D15" s="24">
        <f t="shared" si="15"/>
        <v>1.69</v>
      </c>
      <c r="E15" s="24">
        <f t="shared" si="15"/>
        <v>1</v>
      </c>
      <c r="F15" s="24">
        <f t="shared" ref="F15:I15" si="16">F8</f>
        <v>166.9</v>
      </c>
      <c r="G15" s="24">
        <f t="shared" si="16"/>
        <v>1</v>
      </c>
      <c r="H15" s="24">
        <f t="shared" ref="H15" si="17">H8</f>
        <v>166.9</v>
      </c>
      <c r="I15" s="24">
        <f t="shared" si="16"/>
        <v>0</v>
      </c>
      <c r="J15" s="30" t="s">
        <v>7</v>
      </c>
    </row>
    <row r="16" spans="1:10" x14ac:dyDescent="0.3">
      <c r="A16" s="1" t="s">
        <v>8</v>
      </c>
      <c r="B16" s="18">
        <f>SUM(B10:B15)</f>
        <v>8981.4300000000021</v>
      </c>
      <c r="C16" s="25">
        <f t="shared" ref="C16:E16" si="18">SUM(C10:C15)</f>
        <v>12057.400000000003</v>
      </c>
      <c r="D16" s="25">
        <f t="shared" si="18"/>
        <v>31.072000000000006</v>
      </c>
      <c r="E16" s="25">
        <f t="shared" si="18"/>
        <v>106.55700000000002</v>
      </c>
      <c r="F16" s="25">
        <f t="shared" ref="F16:I16" si="19">SUM(F10:F15)</f>
        <v>30374.600000000002</v>
      </c>
      <c r="G16" s="25">
        <f t="shared" si="19"/>
        <v>25.51</v>
      </c>
      <c r="H16" s="25">
        <f t="shared" ref="H16" si="20">SUM(H10:H15)</f>
        <v>274.60000000000002</v>
      </c>
      <c r="I16" s="25">
        <f t="shared" si="19"/>
        <v>0</v>
      </c>
      <c r="J16" s="31" t="s">
        <v>7</v>
      </c>
    </row>
    <row r="17" spans="1:10" ht="15" thickBot="1" x14ac:dyDescent="0.35">
      <c r="A17" s="2" t="s">
        <v>9</v>
      </c>
      <c r="B17" s="16">
        <f>(1000000-B16)/1000000*100</f>
        <v>99.101856999999995</v>
      </c>
      <c r="C17" s="26">
        <f t="shared" ref="C17:E17" si="21">(1000000-C16)/1000000*100</f>
        <v>98.794259999999994</v>
      </c>
      <c r="D17" s="26">
        <f t="shared" si="21"/>
        <v>99.996892799999998</v>
      </c>
      <c r="E17" s="26">
        <f t="shared" si="21"/>
        <v>99.989344299999999</v>
      </c>
      <c r="F17" s="26">
        <f t="shared" ref="F17:I17" si="22">(1000000-F16)/1000000*100</f>
        <v>96.96253999999999</v>
      </c>
      <c r="G17" s="26">
        <f t="shared" si="22"/>
        <v>99.997448999999989</v>
      </c>
      <c r="H17" s="26">
        <f t="shared" ref="H17" si="23">(1000000-H16)/1000000*100</f>
        <v>99.972539999999995</v>
      </c>
      <c r="I17" s="26">
        <f t="shared" si="22"/>
        <v>100</v>
      </c>
      <c r="J17" s="30" t="s">
        <v>10</v>
      </c>
    </row>
    <row r="18" spans="1:10" ht="15" thickBot="1" x14ac:dyDescent="0.35">
      <c r="A18" s="20" t="s">
        <v>14</v>
      </c>
      <c r="B18" s="21">
        <v>1.5</v>
      </c>
      <c r="C18" s="27">
        <v>3.5</v>
      </c>
      <c r="D18" s="27" t="s">
        <v>26</v>
      </c>
      <c r="E18" s="27"/>
      <c r="F18" s="27"/>
      <c r="G18" s="27"/>
      <c r="H18" s="27"/>
      <c r="I18" s="27"/>
      <c r="J18" s="19" t="s">
        <v>15</v>
      </c>
    </row>
    <row r="19" spans="1:10" x14ac:dyDescent="0.3">
      <c r="A19" s="32" t="s">
        <v>17</v>
      </c>
      <c r="B19" s="36">
        <v>9.66</v>
      </c>
      <c r="C19" s="37">
        <v>9.4</v>
      </c>
      <c r="D19" s="37"/>
      <c r="E19" s="37">
        <v>10.199999999999999</v>
      </c>
      <c r="F19" s="37">
        <v>11</v>
      </c>
      <c r="G19" s="37">
        <v>10.199999999999999</v>
      </c>
      <c r="H19" s="37">
        <v>11</v>
      </c>
      <c r="I19" s="9"/>
      <c r="J19" s="29" t="s">
        <v>27</v>
      </c>
    </row>
    <row r="20" spans="1:10" x14ac:dyDescent="0.3">
      <c r="A20" s="33" t="s">
        <v>18</v>
      </c>
      <c r="B20" s="38">
        <v>1.33</v>
      </c>
      <c r="C20" s="5">
        <v>2</v>
      </c>
      <c r="D20" s="5"/>
      <c r="E20" s="5">
        <v>2</v>
      </c>
      <c r="F20" s="5">
        <v>2.8</v>
      </c>
      <c r="G20" s="5">
        <v>2</v>
      </c>
      <c r="H20" s="5">
        <v>2.8</v>
      </c>
      <c r="I20" s="7"/>
      <c r="J20" s="29" t="s">
        <v>27</v>
      </c>
    </row>
    <row r="21" spans="1:10" x14ac:dyDescent="0.3">
      <c r="A21" s="33" t="s">
        <v>19</v>
      </c>
      <c r="B21" s="38">
        <v>30</v>
      </c>
      <c r="C21" s="5">
        <v>24.9</v>
      </c>
      <c r="D21" s="5"/>
      <c r="E21" s="5">
        <v>32</v>
      </c>
      <c r="F21" s="5">
        <v>24</v>
      </c>
      <c r="G21" s="5">
        <v>32</v>
      </c>
      <c r="H21" s="5">
        <v>24</v>
      </c>
      <c r="I21" s="7"/>
      <c r="J21" s="29" t="s">
        <v>28</v>
      </c>
    </row>
    <row r="22" spans="1:10" x14ac:dyDescent="0.3">
      <c r="A22" s="33" t="s">
        <v>31</v>
      </c>
      <c r="B22" s="39">
        <f>B20/(B24/100*B19)*100</f>
        <v>44.12857673727239</v>
      </c>
      <c r="C22" s="40">
        <f t="shared" ref="C22:E22" si="24">C20/(C24/100*C19)*100</f>
        <v>68.634179821551129</v>
      </c>
      <c r="D22" s="40" t="e">
        <f t="shared" si="24"/>
        <v>#DIV/0!</v>
      </c>
      <c r="E22" s="40">
        <f t="shared" si="24"/>
        <v>68.082788671023962</v>
      </c>
      <c r="F22" s="40">
        <f t="shared" ref="F22:I22" si="25">F20/(F24/100*F19)*100</f>
        <v>91.234929944607373</v>
      </c>
      <c r="G22" s="40">
        <f t="shared" si="25"/>
        <v>68.082788671023962</v>
      </c>
      <c r="H22" s="40">
        <f t="shared" ref="H22" si="26">H20/(H24/100*H19)*100</f>
        <v>91.234929944607373</v>
      </c>
      <c r="I22" s="41" t="e">
        <f t="shared" si="25"/>
        <v>#DIV/0!</v>
      </c>
      <c r="J22" s="29" t="s">
        <v>32</v>
      </c>
    </row>
    <row r="23" spans="1:10" x14ac:dyDescent="0.3">
      <c r="A23" s="33" t="s">
        <v>20</v>
      </c>
      <c r="B23" s="38"/>
      <c r="C23" s="5"/>
      <c r="D23" s="5"/>
      <c r="E23" s="5"/>
      <c r="F23" s="5"/>
      <c r="G23" s="5"/>
      <c r="H23" s="5"/>
      <c r="I23" s="7"/>
      <c r="J23" s="29"/>
    </row>
    <row r="24" spans="1:10" x14ac:dyDescent="0.3">
      <c r="A24" s="34" t="s">
        <v>21</v>
      </c>
      <c r="B24" s="38">
        <v>31.2</v>
      </c>
      <c r="C24" s="5">
        <v>31</v>
      </c>
      <c r="D24" s="5">
        <v>100</v>
      </c>
      <c r="E24" s="5">
        <v>28.8</v>
      </c>
      <c r="F24" s="5">
        <v>27.9</v>
      </c>
      <c r="G24" s="5">
        <v>28.8</v>
      </c>
      <c r="H24" s="5">
        <v>27.9</v>
      </c>
      <c r="I24" s="7"/>
      <c r="J24" s="29" t="s">
        <v>29</v>
      </c>
    </row>
    <row r="25" spans="1:10" x14ac:dyDescent="0.3">
      <c r="A25" s="34" t="s">
        <v>22</v>
      </c>
      <c r="B25" s="38">
        <v>31.4</v>
      </c>
      <c r="C25" s="5">
        <v>35.4</v>
      </c>
      <c r="D25" s="5"/>
      <c r="E25" s="5">
        <v>34.1</v>
      </c>
      <c r="F25" s="5">
        <v>32.5</v>
      </c>
      <c r="G25" s="5">
        <v>34.1</v>
      </c>
      <c r="H25" s="5">
        <v>32.5</v>
      </c>
      <c r="I25" s="7"/>
      <c r="J25" s="29" t="s">
        <v>29</v>
      </c>
    </row>
    <row r="26" spans="1:10" x14ac:dyDescent="0.3">
      <c r="A26" s="34" t="s">
        <v>23</v>
      </c>
      <c r="B26" s="38">
        <v>17.7</v>
      </c>
      <c r="C26" s="5">
        <v>19.7</v>
      </c>
      <c r="D26" s="5"/>
      <c r="E26" s="5">
        <v>21.8</v>
      </c>
      <c r="F26" s="5">
        <v>23.4</v>
      </c>
      <c r="G26" s="5">
        <v>21.8</v>
      </c>
      <c r="H26" s="5">
        <v>23.4</v>
      </c>
      <c r="I26" s="7"/>
      <c r="J26" s="29" t="s">
        <v>29</v>
      </c>
    </row>
    <row r="27" spans="1:10" x14ac:dyDescent="0.3">
      <c r="A27" s="34" t="s">
        <v>24</v>
      </c>
      <c r="B27" s="38">
        <v>0.3</v>
      </c>
      <c r="C27" s="5">
        <v>0.7</v>
      </c>
      <c r="D27" s="5"/>
      <c r="E27" s="5">
        <v>0.5</v>
      </c>
      <c r="F27" s="5">
        <v>0.2</v>
      </c>
      <c r="G27" s="5">
        <v>0.5</v>
      </c>
      <c r="H27" s="5">
        <v>0.2</v>
      </c>
      <c r="I27" s="7"/>
      <c r="J27" s="29" t="s">
        <v>29</v>
      </c>
    </row>
    <row r="28" spans="1:10" x14ac:dyDescent="0.3">
      <c r="A28" s="34" t="s">
        <v>25</v>
      </c>
      <c r="B28" s="38">
        <v>19.399999999999999</v>
      </c>
      <c r="C28" s="5">
        <v>13.2</v>
      </c>
      <c r="D28" s="5"/>
      <c r="E28" s="5">
        <v>14.8</v>
      </c>
      <c r="F28" s="5">
        <v>27.9</v>
      </c>
      <c r="G28" s="5">
        <v>14.8</v>
      </c>
      <c r="H28" s="5">
        <v>27.9</v>
      </c>
      <c r="I28" s="7"/>
      <c r="J28" s="29" t="s">
        <v>29</v>
      </c>
    </row>
    <row r="29" spans="1:10" ht="15" thickBot="1" x14ac:dyDescent="0.35">
      <c r="A29" s="35" t="s">
        <v>30</v>
      </c>
      <c r="B29" s="42">
        <f>SUM(B24:B28)</f>
        <v>100</v>
      </c>
      <c r="C29" s="43">
        <f t="shared" ref="C29:E29" si="27">SUM(C24:C28)</f>
        <v>100.00000000000001</v>
      </c>
      <c r="D29" s="43">
        <f t="shared" si="27"/>
        <v>100</v>
      </c>
      <c r="E29" s="43">
        <f t="shared" si="27"/>
        <v>100</v>
      </c>
      <c r="F29" s="43">
        <f t="shared" ref="F29:I29" si="28">SUM(F24:F28)</f>
        <v>111.9</v>
      </c>
      <c r="G29" s="43">
        <f t="shared" si="28"/>
        <v>100</v>
      </c>
      <c r="H29" s="43">
        <f t="shared" ref="H29" si="29">SUM(H24:H28)</f>
        <v>111.9</v>
      </c>
      <c r="I29" s="8">
        <f t="shared" si="28"/>
        <v>0</v>
      </c>
      <c r="J29" s="3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3E31-ED72-43A2-AB39-395174F3E52E}">
  <dimension ref="A1"/>
  <sheetViews>
    <sheetView workbookViewId="0">
      <selection activeCell="B10" sqref="B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H2 Samples</vt:lpstr>
      <vt:lpstr>Feed Gas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dieterolson</dc:creator>
  <cp:lastModifiedBy>dieterolson</cp:lastModifiedBy>
  <dcterms:created xsi:type="dcterms:W3CDTF">2018-04-20T19:51:44Z</dcterms:created>
  <dcterms:modified xsi:type="dcterms:W3CDTF">2018-05-30T16:20:39Z</dcterms:modified>
</cp:coreProperties>
</file>