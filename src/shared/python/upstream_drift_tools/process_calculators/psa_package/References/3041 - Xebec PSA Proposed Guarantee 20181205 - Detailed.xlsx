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ez\InEnTec\3041 - ICR - Documents\03 Procurement\1004-3041 Xebec PSA\"/>
    </mc:Choice>
  </mc:AlternateContent>
  <xr:revisionPtr revIDLastSave="0" documentId="10_ncr:100000_{D21FB1D6-F30A-4AB3-A5E0-7BEBB7E4ABE6}" xr6:coauthVersionLast="31" xr6:coauthVersionMax="31" xr10:uidLastSave="{00000000-0000-0000-0000-000000000000}"/>
  <bookViews>
    <workbookView xWindow="0" yWindow="0" windowWidth="28800" windowHeight="11985" xr2:uid="{42E432E8-B453-4FA8-8C8E-2D243EEB0CCE}"/>
  </bookViews>
  <sheets>
    <sheet name="Sheet1" sheetId="1" r:id="rId1"/>
  </sheets>
  <calcPr calcId="179017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4" i="1"/>
  <c r="G4" i="1"/>
  <c r="E8" i="1"/>
  <c r="E3" i="1"/>
  <c r="N6" i="1"/>
  <c r="N4" i="1"/>
  <c r="G5" i="1" l="1"/>
  <c r="G6" i="1"/>
  <c r="G7" i="1"/>
  <c r="X3" i="1" l="1"/>
  <c r="U4" i="1"/>
  <c r="W4" i="1"/>
  <c r="U5" i="1"/>
  <c r="W5" i="1"/>
  <c r="U6" i="1"/>
  <c r="W6" i="1"/>
  <c r="X6" i="1"/>
  <c r="U7" i="1"/>
  <c r="W7" i="1"/>
  <c r="U8" i="1"/>
  <c r="W8" i="1"/>
  <c r="X8" i="1"/>
  <c r="T4" i="1"/>
  <c r="T5" i="1"/>
  <c r="T6" i="1"/>
  <c r="T7" i="1"/>
  <c r="T8" i="1"/>
  <c r="T3" i="1"/>
  <c r="L8" i="1"/>
  <c r="V8" i="1" s="1"/>
  <c r="J4" i="1"/>
  <c r="K4" i="1"/>
  <c r="M4" i="1"/>
  <c r="X4" i="1"/>
  <c r="J5" i="1"/>
  <c r="K5" i="1"/>
  <c r="M5" i="1"/>
  <c r="N5" i="1"/>
  <c r="X5" i="1" s="1"/>
  <c r="J6" i="1"/>
  <c r="K6" i="1"/>
  <c r="M6" i="1"/>
  <c r="J7" i="1"/>
  <c r="K7" i="1"/>
  <c r="M7" i="1"/>
  <c r="N7" i="1"/>
  <c r="X7" i="1" s="1"/>
  <c r="J8" i="1"/>
  <c r="K8" i="1"/>
  <c r="M8" i="1"/>
  <c r="N8" i="1"/>
  <c r="K3" i="1"/>
  <c r="U3" i="1" s="1"/>
  <c r="M3" i="1"/>
  <c r="W3" i="1" s="1"/>
  <c r="N3" i="1"/>
  <c r="J3" i="1"/>
  <c r="L3" i="1" l="1"/>
  <c r="V3" i="1" s="1"/>
  <c r="Q4" i="1"/>
  <c r="E4" i="1" s="1"/>
  <c r="L4" i="1" s="1"/>
  <c r="V4" i="1" s="1"/>
  <c r="Q5" i="1"/>
  <c r="E5" i="1" s="1"/>
  <c r="L5" i="1" s="1"/>
  <c r="V5" i="1" s="1"/>
  <c r="Q6" i="1"/>
  <c r="E6" i="1" s="1"/>
  <c r="L6" i="1" s="1"/>
  <c r="V6" i="1" s="1"/>
  <c r="Q7" i="1"/>
  <c r="E7" i="1" s="1"/>
  <c r="L7" i="1" s="1"/>
  <c r="V7" i="1" s="1"/>
</calcChain>
</file>

<file path=xl/sharedStrings.xml><?xml version="1.0" encoding="utf-8"?>
<sst xmlns="http://schemas.openxmlformats.org/spreadsheetml/2006/main" count="26" uniqueCount="20">
  <si>
    <t>Case 1</t>
  </si>
  <si>
    <t>Case 2</t>
  </si>
  <si>
    <t>Flow</t>
  </si>
  <si>
    <t>Pressure is 200 psig in all cases.</t>
  </si>
  <si>
    <t>Recovery is to be adjusted to the new numbers.</t>
  </si>
  <si>
    <t>Vol %</t>
  </si>
  <si>
    <t>Flow (scfm)</t>
  </si>
  <si>
    <t>H2</t>
  </si>
  <si>
    <t>CO</t>
  </si>
  <si>
    <t>CO2</t>
  </si>
  <si>
    <t>CH4</t>
  </si>
  <si>
    <t>N2</t>
  </si>
  <si>
    <t>CO/(CO+CO2)</t>
  </si>
  <si>
    <t>Carbon Ratio</t>
  </si>
  <si>
    <r>
      <t xml:space="preserve">H2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%</t>
    </r>
  </si>
  <si>
    <r>
      <t xml:space="preserve">CO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%</t>
    </r>
  </si>
  <si>
    <r>
      <t xml:space="preserve">CO2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%</t>
    </r>
  </si>
  <si>
    <r>
      <t xml:space="preserve">CH4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%</t>
    </r>
  </si>
  <si>
    <r>
      <t xml:space="preserve">N2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%</t>
    </r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</si>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</sst>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Syngas Composition Over</a:t>
            </a:r>
            <a:r>
              <a:rPr lang="en-US" baseline="0"/>
              <a:t> Flow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9669132267557E-2"/>
          <c:y val="0.1070650091212879"/>
          <c:w val="0.79007621576947151"/>
          <c:h val="0.691074481490624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H2 ≥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08-450F-BD47-A0ED28D31D10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CO ≤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08-450F-BD47-A0ED28D31D10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CO2 ≤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Sheet1!$E$3:$E$8</c:f>
              <c:numCache>
                <c:formatCode>0.0</c:formatCode>
                <c:ptCount val="6"/>
                <c:pt idx="0">
                  <c:v>30</c:v>
                </c:pt>
                <c:pt idx="1">
                  <c:v>28.721062618595823</c:v>
                </c:pt>
                <c:pt idx="2">
                  <c:v>27.371841155234655</c:v>
                </c:pt>
                <c:pt idx="3">
                  <c:v>25.962134251290884</c:v>
                </c:pt>
                <c:pt idx="4">
                  <c:v>24.5</c:v>
                </c:pt>
                <c:pt idx="5">
                  <c:v>22.99212598425197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08-450F-BD47-A0ED28D31D10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CH4 ≤ 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Sheet1!$F$3:$F$8</c:f>
              <c:numCache>
                <c:formatCode>General</c:formatCode>
                <c:ptCount val="6"/>
                <c:pt idx="0">
                  <c:v>2</c:v>
                </c:pt>
                <c:pt idx="1">
                  <c:v>1.8</c:v>
                </c:pt>
                <c:pt idx="2">
                  <c:v>1.6</c:v>
                </c:pt>
                <c:pt idx="3">
                  <c:v>1.4</c:v>
                </c:pt>
                <c:pt idx="4">
                  <c:v>1.2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08-450F-BD47-A0ED28D31D10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N2 ≤ 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Sheet1!$G$3:$G$8</c:f>
              <c:numCache>
                <c:formatCode>General</c:formatCode>
                <c:ptCount val="6"/>
                <c:pt idx="0">
                  <c:v>8</c:v>
                </c:pt>
                <c:pt idx="1">
                  <c:v>7.4</c:v>
                </c:pt>
                <c:pt idx="2">
                  <c:v>6.8</c:v>
                </c:pt>
                <c:pt idx="3">
                  <c:v>6.2</c:v>
                </c:pt>
                <c:pt idx="4">
                  <c:v>5.6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08-450F-BD47-A0ED28D3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41456"/>
        <c:axId val="365841784"/>
      </c:scatterChart>
      <c:valAx>
        <c:axId val="365841456"/>
        <c:scaling>
          <c:orientation val="minMax"/>
          <c:max val="110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</a:t>
                </a:r>
                <a:r>
                  <a:rPr lang="en-US" baseline="0"/>
                  <a:t> Syngas Flow to PSA (SCFM)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784"/>
        <c:crosses val="autoZero"/>
        <c:crossBetween val="midCat"/>
        <c:majorUnit val="100"/>
      </c:valAx>
      <c:valAx>
        <c:axId val="36584178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45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022604080118148E-2"/>
          <c:y val="0.88237418156763192"/>
          <c:w val="0.7911838342341595"/>
          <c:h val="6.6792739947605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PSA Guaranteed</a:t>
            </a:r>
            <a:r>
              <a:rPr lang="en-US" baseline="0"/>
              <a:t> Performance at 200 psig</a:t>
            </a:r>
          </a:p>
        </c:rich>
      </c:tx>
      <c:layout>
        <c:manualLayout>
          <c:xMode val="edge"/>
          <c:yMode val="edge"/>
          <c:x val="0.14463100709249288"/>
          <c:y val="2.1528525296017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Sheet1!$J$3:$J$8</c:f>
              <c:numCache>
                <c:formatCode>General</c:formatCode>
                <c:ptCount val="6"/>
                <c:pt idx="0">
                  <c:v>180</c:v>
                </c:pt>
                <c:pt idx="1">
                  <c:v>210</c:v>
                </c:pt>
                <c:pt idx="2">
                  <c:v>240</c:v>
                </c:pt>
                <c:pt idx="3">
                  <c:v>270</c:v>
                </c:pt>
                <c:pt idx="4">
                  <c:v>300</c:v>
                </c:pt>
                <c:pt idx="5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E-4015-B6C2-358B70CD0AA2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180</c:v>
                </c:pt>
                <c:pt idx="1">
                  <c:v>224</c:v>
                </c:pt>
                <c:pt idx="2">
                  <c:v>272</c:v>
                </c:pt>
                <c:pt idx="3">
                  <c:v>324</c:v>
                </c:pt>
                <c:pt idx="4">
                  <c:v>380</c:v>
                </c:pt>
                <c:pt idx="5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7E-4015-B6C2-358B70CD0AA2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Sheet1!$L$3:$L$8</c:f>
              <c:numCache>
                <c:formatCode>0.0</c:formatCode>
                <c:ptCount val="6"/>
                <c:pt idx="0">
                  <c:v>180</c:v>
                </c:pt>
                <c:pt idx="1">
                  <c:v>201.04743833017076</c:v>
                </c:pt>
                <c:pt idx="2">
                  <c:v>218.97472924187724</c:v>
                </c:pt>
                <c:pt idx="3">
                  <c:v>233.65920826161798</c:v>
                </c:pt>
                <c:pt idx="4">
                  <c:v>245</c:v>
                </c:pt>
                <c:pt idx="5">
                  <c:v>252.91338582677167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7E-4015-B6C2-358B70CD0AA2}"/>
            </c:ext>
          </c:extLst>
        </c:ser>
        <c:ser>
          <c:idx val="3"/>
          <c:order val="3"/>
          <c:tx>
            <c:strRef>
              <c:f>Sheet1!$M$2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Sheet1!$M$3:$M$8</c:f>
              <c:numCache>
                <c:formatCode>General</c:formatCode>
                <c:ptCount val="6"/>
                <c:pt idx="0">
                  <c:v>12</c:v>
                </c:pt>
                <c:pt idx="1">
                  <c:v>12.6</c:v>
                </c:pt>
                <c:pt idx="2">
                  <c:v>12.8</c:v>
                </c:pt>
                <c:pt idx="3">
                  <c:v>12.6</c:v>
                </c:pt>
                <c:pt idx="4">
                  <c:v>12</c:v>
                </c:pt>
                <c:pt idx="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7E-4015-B6C2-358B70CD0AA2}"/>
            </c:ext>
          </c:extLst>
        </c:ser>
        <c:ser>
          <c:idx val="4"/>
          <c:order val="4"/>
          <c:tx>
            <c:strRef>
              <c:f>Sheet1!$N$2</c:f>
              <c:strCache>
                <c:ptCount val="1"/>
                <c:pt idx="0">
                  <c:v>N2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Sheet1!$N$3:$N$8</c:f>
              <c:numCache>
                <c:formatCode>General</c:formatCode>
                <c:ptCount val="6"/>
                <c:pt idx="0">
                  <c:v>48</c:v>
                </c:pt>
                <c:pt idx="1">
                  <c:v>51.8</c:v>
                </c:pt>
                <c:pt idx="2">
                  <c:v>54.4</c:v>
                </c:pt>
                <c:pt idx="3">
                  <c:v>55.8</c:v>
                </c:pt>
                <c:pt idx="4">
                  <c:v>56</c:v>
                </c:pt>
                <c:pt idx="5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7E-4015-B6C2-358B70CD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41456"/>
        <c:axId val="365841784"/>
      </c:scatterChart>
      <c:valAx>
        <c:axId val="365841456"/>
        <c:scaling>
          <c:orientation val="minMax"/>
          <c:max val="11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</a:t>
                </a:r>
                <a:r>
                  <a:rPr lang="en-US" baseline="0"/>
                  <a:t> Syngas Flow to PSA (SCFM)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784"/>
        <c:crosses val="autoZero"/>
        <c:crossBetween val="midCat"/>
        <c:majorUnit val="50"/>
      </c:valAx>
      <c:valAx>
        <c:axId val="36584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Molar Flow </a:t>
            </a:r>
            <a:r>
              <a:rPr lang="en-US" baseline="0"/>
              <a:t>at 200 psig.  H2 on Secondary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Sheet1!$U$2</c:f>
              <c:strCache>
                <c:ptCount val="1"/>
                <c:pt idx="0">
                  <c:v>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Sheet1!$U$3:$U$8</c:f>
              <c:numCache>
                <c:formatCode>0.0</c:formatCode>
                <c:ptCount val="6"/>
                <c:pt idx="0">
                  <c:v>38.571428571428569</c:v>
                </c:pt>
                <c:pt idx="1">
                  <c:v>56</c:v>
                </c:pt>
                <c:pt idx="2">
                  <c:v>77.714285714285708</c:v>
                </c:pt>
                <c:pt idx="3">
                  <c:v>104.14285714285714</c:v>
                </c:pt>
                <c:pt idx="4">
                  <c:v>135.71428571428572</c:v>
                </c:pt>
                <c:pt idx="5">
                  <c:v>172.85714285714286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08-410C-AA1D-608739BA395E}"/>
            </c:ext>
          </c:extLst>
        </c:ser>
        <c:ser>
          <c:idx val="2"/>
          <c:order val="2"/>
          <c:tx>
            <c:strRef>
              <c:f>Sheet1!$V$2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Sheet1!$V$3:$V$8</c:f>
              <c:numCache>
                <c:formatCode>0.0</c:formatCode>
                <c:ptCount val="6"/>
                <c:pt idx="0">
                  <c:v>24.545454545454547</c:v>
                </c:pt>
                <c:pt idx="1">
                  <c:v>31.984819734345351</c:v>
                </c:pt>
                <c:pt idx="2">
                  <c:v>39.813587134886774</c:v>
                </c:pt>
                <c:pt idx="3">
                  <c:v>47.793928962603673</c:v>
                </c:pt>
                <c:pt idx="4">
                  <c:v>55.68181818181818</c:v>
                </c:pt>
                <c:pt idx="5">
                  <c:v>63.228346456692925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08-410C-AA1D-608739BA395E}"/>
            </c:ext>
          </c:extLst>
        </c:ser>
        <c:ser>
          <c:idx val="3"/>
          <c:order val="3"/>
          <c:tx>
            <c:strRef>
              <c:f>Sheet1!$W$2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Sheet1!$W$3:$W$8</c:f>
              <c:numCache>
                <c:formatCode>0.0</c:formatCode>
                <c:ptCount val="6"/>
                <c:pt idx="0">
                  <c:v>4.5</c:v>
                </c:pt>
                <c:pt idx="1">
                  <c:v>5.5125000000000002</c:v>
                </c:pt>
                <c:pt idx="2">
                  <c:v>6.4</c:v>
                </c:pt>
                <c:pt idx="3">
                  <c:v>7.0875000000000004</c:v>
                </c:pt>
                <c:pt idx="4">
                  <c:v>7.5</c:v>
                </c:pt>
                <c:pt idx="5">
                  <c:v>7.5625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08-410C-AA1D-608739BA395E}"/>
            </c:ext>
          </c:extLst>
        </c:ser>
        <c:ser>
          <c:idx val="4"/>
          <c:order val="4"/>
          <c:tx>
            <c:strRef>
              <c:f>Sheet1!$X$2</c:f>
              <c:strCache>
                <c:ptCount val="1"/>
                <c:pt idx="0">
                  <c:v>N2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Sheet1!$X$3:$X$8</c:f>
              <c:numCache>
                <c:formatCode>0.0</c:formatCode>
                <c:ptCount val="6"/>
                <c:pt idx="0">
                  <c:v>10.285714285714286</c:v>
                </c:pt>
                <c:pt idx="1">
                  <c:v>12.950000000000001</c:v>
                </c:pt>
                <c:pt idx="2">
                  <c:v>15.542857142857143</c:v>
                </c:pt>
                <c:pt idx="3">
                  <c:v>17.935714285714287</c:v>
                </c:pt>
                <c:pt idx="4">
                  <c:v>20</c:v>
                </c:pt>
                <c:pt idx="5">
                  <c:v>21.607142857142858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08-410C-AA1D-608739BA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41456"/>
        <c:axId val="365841784"/>
      </c:scatterChart>
      <c:scatterChart>
        <c:scatterStyle val="lineMarker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Sheet1!$T$3:$T$8</c:f>
              <c:numCache>
                <c:formatCode>0.0</c:formatCode>
                <c:ptCount val="6"/>
                <c:pt idx="0">
                  <c:v>540</c:v>
                </c:pt>
                <c:pt idx="1">
                  <c:v>735</c:v>
                </c:pt>
                <c:pt idx="2">
                  <c:v>960</c:v>
                </c:pt>
                <c:pt idx="3">
                  <c:v>1215</c:v>
                </c:pt>
                <c:pt idx="4">
                  <c:v>1500</c:v>
                </c:pt>
                <c:pt idx="5">
                  <c:v>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8-410C-AA1D-608739BA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30728"/>
        <c:axId val="549028104"/>
      </c:scatterChart>
      <c:valAx>
        <c:axId val="365841456"/>
        <c:scaling>
          <c:orientation val="minMax"/>
          <c:max val="11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</a:t>
                </a:r>
                <a:r>
                  <a:rPr lang="en-US" baseline="0"/>
                  <a:t> Syngas Flow to PSA (SCFM)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784"/>
        <c:crosses val="autoZero"/>
        <c:crossBetween val="midCat"/>
        <c:majorUnit val="50"/>
      </c:valAx>
      <c:valAx>
        <c:axId val="36584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456"/>
        <c:crosses val="autoZero"/>
        <c:crossBetween val="midCat"/>
      </c:valAx>
      <c:valAx>
        <c:axId val="54902810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30728"/>
        <c:crosses val="max"/>
        <c:crossBetween val="midCat"/>
      </c:valAx>
      <c:valAx>
        <c:axId val="54903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902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Guaranteed Hydrogen Recovery Over</a:t>
            </a:r>
            <a:r>
              <a:rPr lang="en-US" baseline="0"/>
              <a:t> Flow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9669132267557E-2"/>
          <c:y val="0.1070650091212879"/>
          <c:w val="0.79007621576947151"/>
          <c:h val="0.67319337800708567"/>
        </c:manualLayout>
      </c:layout>
      <c:scatterChart>
        <c:scatterStyle val="lineMarker"/>
        <c:varyColors val="0"/>
        <c:ser>
          <c:idx val="2"/>
          <c:order val="0"/>
          <c:tx>
            <c:strRef>
              <c:f>Sheet1!$H$2</c:f>
              <c:strCache>
                <c:ptCount val="1"/>
                <c:pt idx="0">
                  <c:v>Recovery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Sheet1!$B$3:$B$8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</c:numCache>
            </c:numRef>
          </c:xVal>
          <c:yVal>
            <c:numRef>
              <c:f>Sheet1!$H$3:$H$8</c:f>
              <c:numCache>
                <c:formatCode>General</c:formatCode>
                <c:ptCount val="6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52-4ED4-BCB0-48637D9DF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41456"/>
        <c:axId val="365841784"/>
      </c:scatterChart>
      <c:valAx>
        <c:axId val="365841456"/>
        <c:scaling>
          <c:orientation val="minMax"/>
          <c:max val="110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Raw</a:t>
                </a:r>
                <a:r>
                  <a:rPr lang="en-US" baseline="0"/>
                  <a:t> Syngas Flow to PSA (SCFM)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784"/>
        <c:crosses val="autoZero"/>
        <c:crossBetween val="midCat"/>
        <c:majorUnit val="100"/>
      </c:valAx>
      <c:valAx>
        <c:axId val="365841784"/>
        <c:scaling>
          <c:orientation val="minMax"/>
          <c:max val="8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Hydrogen Product Recovery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4145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022597785032973E-2"/>
          <c:y val="0.87599019043314885"/>
          <c:w val="0.7911838342341595"/>
          <c:h val="6.971735758263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5715</xdr:rowOff>
    </xdr:from>
    <xdr:to>
      <xdr:col>9</xdr:col>
      <xdr:colOff>29765</xdr:colOff>
      <xdr:row>36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2455C1-C9AC-4CB7-B0FF-94901427E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12</xdr:row>
      <xdr:rowOff>19050</xdr:rowOff>
    </xdr:from>
    <xdr:to>
      <xdr:col>19</xdr:col>
      <xdr:colOff>135255</xdr:colOff>
      <xdr:row>31</xdr:row>
      <xdr:rowOff>120015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32925-9826-4D0C-9643-3D4A03C80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9525</xdr:colOff>
      <xdr:row>12</xdr:row>
      <xdr:rowOff>9525</xdr:rowOff>
    </xdr:from>
    <xdr:to>
      <xdr:col>28</xdr:col>
      <xdr:colOff>611505</xdr:colOff>
      <xdr:row>31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B009E-4348-4FCB-88DC-6172E4F8B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9</xdr:col>
      <xdr:colOff>17859</xdr:colOff>
      <xdr:row>59</xdr:row>
      <xdr:rowOff>172641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FC4FDC-F37A-406A-926B-1F8071295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3B0-8B04-4D9E-B795-11709AFEEA52}">
  <dimension ref="A1:X11"/>
  <sheetViews>
    <sheetView tabSelected="1" zoomScale="80" zoomScaleNormal="80" workbookViewId="0">
      <selection activeCell="X36" sqref="X36"/>
    </sheetView>
  </sheetViews>
  <sheetFormatPr defaultRowHeight="14.25" x14ac:dyDescent="0.45"/>
  <sheetData>
    <row r="1" spans="1:24" x14ac:dyDescent="0.45">
      <c r="B1" s="1"/>
      <c r="C1" s="1"/>
      <c r="D1" s="1"/>
      <c r="E1" s="1" t="s">
        <v>5</v>
      </c>
      <c r="F1" s="1"/>
      <c r="G1" s="1"/>
      <c r="H1" s="1"/>
      <c r="I1" s="1"/>
      <c r="J1" s="1"/>
      <c r="K1" s="1"/>
      <c r="L1" s="1" t="s">
        <v>6</v>
      </c>
      <c r="M1" s="1"/>
      <c r="N1" s="1"/>
      <c r="O1" s="1"/>
      <c r="P1" s="1"/>
      <c r="Q1" s="1" t="s">
        <v>13</v>
      </c>
      <c r="T1" s="1"/>
      <c r="U1" s="1"/>
      <c r="V1" s="1" t="s">
        <v>6</v>
      </c>
      <c r="W1" s="1"/>
      <c r="X1" s="1"/>
    </row>
    <row r="2" spans="1:24" x14ac:dyDescent="0.45">
      <c r="B2" s="1" t="s">
        <v>2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/>
      <c r="P2" s="1"/>
      <c r="Q2" s="1" t="s">
        <v>12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 x14ac:dyDescent="0.45">
      <c r="A3" t="s">
        <v>0</v>
      </c>
      <c r="B3" s="1">
        <v>600</v>
      </c>
      <c r="C3" s="1">
        <v>30</v>
      </c>
      <c r="D3" s="1">
        <v>30</v>
      </c>
      <c r="E3" s="2">
        <f>D3/Q3-D3</f>
        <v>30</v>
      </c>
      <c r="F3" s="1">
        <v>2</v>
      </c>
      <c r="G3" s="1">
        <v>8</v>
      </c>
      <c r="H3" s="1">
        <v>70</v>
      </c>
      <c r="I3" s="1"/>
      <c r="J3" s="1">
        <f>$B3*C3/100</f>
        <v>180</v>
      </c>
      <c r="K3" s="1">
        <f>$B3*D3/100</f>
        <v>180</v>
      </c>
      <c r="L3" s="2">
        <f>$B3*E3/100</f>
        <v>180</v>
      </c>
      <c r="M3" s="1">
        <f>$B3*F3/100</f>
        <v>12</v>
      </c>
      <c r="N3" s="1">
        <f>$B3*G3/100</f>
        <v>48</v>
      </c>
      <c r="O3" s="1"/>
      <c r="P3" s="1"/>
      <c r="Q3" s="1">
        <v>0.5</v>
      </c>
      <c r="T3" s="2">
        <f>$B3*J3/100/T$10</f>
        <v>540</v>
      </c>
      <c r="U3" s="2">
        <f t="shared" ref="U3:X8" si="0">$B3*K3/100/U$10</f>
        <v>38.571428571428569</v>
      </c>
      <c r="V3" s="2">
        <f t="shared" si="0"/>
        <v>24.545454545454547</v>
      </c>
      <c r="W3" s="2">
        <f t="shared" si="0"/>
        <v>4.5</v>
      </c>
      <c r="X3" s="2">
        <f t="shared" si="0"/>
        <v>10.285714285714286</v>
      </c>
    </row>
    <row r="4" spans="1:24" x14ac:dyDescent="0.45">
      <c r="B4" s="1">
        <v>700</v>
      </c>
      <c r="C4" s="1">
        <v>30</v>
      </c>
      <c r="D4" s="1">
        <v>32</v>
      </c>
      <c r="E4" s="2">
        <f>D4/Q4-D4</f>
        <v>28.721062618595823</v>
      </c>
      <c r="F4" s="1">
        <v>1.8</v>
      </c>
      <c r="G4" s="1">
        <f>($G$8-$G$3)/($B$8-$B$3)*(B4-$B$3)+$G$3</f>
        <v>7.4</v>
      </c>
      <c r="H4" s="1">
        <f>($H$8-$H$3)/($B$8-$B$3)*(B4-$B$3)+$H$3</f>
        <v>71</v>
      </c>
      <c r="I4" s="1"/>
      <c r="J4" s="1">
        <f t="shared" ref="J4:J8" si="1">$B4*C4/100</f>
        <v>210</v>
      </c>
      <c r="K4" s="1">
        <f t="shared" ref="K4:K8" si="2">$B4*D4/100</f>
        <v>224</v>
      </c>
      <c r="L4" s="2">
        <f t="shared" ref="L4:L8" si="3">$B4*E4/100</f>
        <v>201.04743833017076</v>
      </c>
      <c r="M4" s="1">
        <f t="shared" ref="M4:M8" si="4">$B4*F4/100</f>
        <v>12.6</v>
      </c>
      <c r="N4" s="1">
        <f>$B4*G4/100</f>
        <v>51.8</v>
      </c>
      <c r="O4" s="1"/>
      <c r="P4" s="1"/>
      <c r="Q4" s="1">
        <f>($Q$8-$Q$3)/($B$8-$B$3)*(B4-$B$3)+$Q$3</f>
        <v>0.52700000000000002</v>
      </c>
      <c r="T4" s="2">
        <f t="shared" ref="T4:T8" si="5">$B4*J4/100/T$10</f>
        <v>735</v>
      </c>
      <c r="U4" s="2">
        <f t="shared" si="0"/>
        <v>56</v>
      </c>
      <c r="V4" s="2">
        <f t="shared" si="0"/>
        <v>31.984819734345351</v>
      </c>
      <c r="W4" s="2">
        <f t="shared" si="0"/>
        <v>5.5125000000000002</v>
      </c>
      <c r="X4" s="2">
        <f t="shared" si="0"/>
        <v>12.950000000000001</v>
      </c>
    </row>
    <row r="5" spans="1:24" x14ac:dyDescent="0.45">
      <c r="B5" s="1">
        <v>800</v>
      </c>
      <c r="C5" s="1">
        <v>30</v>
      </c>
      <c r="D5" s="1">
        <v>34</v>
      </c>
      <c r="E5" s="2">
        <f>D5/Q5-D5</f>
        <v>27.371841155234655</v>
      </c>
      <c r="F5" s="1">
        <v>1.6</v>
      </c>
      <c r="G5" s="1">
        <f t="shared" ref="G5:G7" si="6">($G$8-$G$3)/($B$8-$B$3)*(B5-$B$3)+$G$3</f>
        <v>6.8</v>
      </c>
      <c r="H5" s="1">
        <f t="shared" ref="H5:H7" si="7">($H$8-$H$3)/($B$8-$B$3)*(B5-$B$3)+$H$3</f>
        <v>72</v>
      </c>
      <c r="I5" s="1"/>
      <c r="J5" s="1">
        <f t="shared" si="1"/>
        <v>240</v>
      </c>
      <c r="K5" s="1">
        <f t="shared" si="2"/>
        <v>272</v>
      </c>
      <c r="L5" s="2">
        <f t="shared" si="3"/>
        <v>218.97472924187724</v>
      </c>
      <c r="M5" s="1">
        <f t="shared" si="4"/>
        <v>12.8</v>
      </c>
      <c r="N5" s="1">
        <f>$B5*G5/100</f>
        <v>54.4</v>
      </c>
      <c r="O5" s="1"/>
      <c r="P5" s="1"/>
      <c r="Q5" s="1">
        <f>($Q$8-$Q$3)/($B$8-$B$3)*(B5-$B$3)+$Q$3</f>
        <v>0.55400000000000005</v>
      </c>
      <c r="T5" s="2">
        <f t="shared" si="5"/>
        <v>960</v>
      </c>
      <c r="U5" s="2">
        <f t="shared" si="0"/>
        <v>77.714285714285708</v>
      </c>
      <c r="V5" s="2">
        <f t="shared" si="0"/>
        <v>39.813587134886774</v>
      </c>
      <c r="W5" s="2">
        <f t="shared" si="0"/>
        <v>6.4</v>
      </c>
      <c r="X5" s="2">
        <f t="shared" si="0"/>
        <v>15.542857142857143</v>
      </c>
    </row>
    <row r="6" spans="1:24" x14ac:dyDescent="0.45">
      <c r="B6" s="1">
        <v>900</v>
      </c>
      <c r="C6" s="1">
        <v>30</v>
      </c>
      <c r="D6" s="1">
        <v>36</v>
      </c>
      <c r="E6" s="2">
        <f>D6/Q6-D6</f>
        <v>25.962134251290884</v>
      </c>
      <c r="F6" s="1">
        <v>1.4</v>
      </c>
      <c r="G6" s="1">
        <f t="shared" si="6"/>
        <v>6.2</v>
      </c>
      <c r="H6" s="1">
        <f t="shared" si="7"/>
        <v>73</v>
      </c>
      <c r="I6" s="1"/>
      <c r="J6" s="1">
        <f t="shared" si="1"/>
        <v>270</v>
      </c>
      <c r="K6" s="1">
        <f t="shared" si="2"/>
        <v>324</v>
      </c>
      <c r="L6" s="2">
        <f t="shared" si="3"/>
        <v>233.65920826161798</v>
      </c>
      <c r="M6" s="1">
        <f t="shared" si="4"/>
        <v>12.6</v>
      </c>
      <c r="N6" s="1">
        <f>$B6*G6/100</f>
        <v>55.8</v>
      </c>
      <c r="O6" s="1"/>
      <c r="P6" s="1"/>
      <c r="Q6" s="1">
        <f>($Q$8-$Q$3)/($B$8-$B$3)*(B6-$B$3)+$Q$3</f>
        <v>0.58099999999999996</v>
      </c>
      <c r="T6" s="2">
        <f t="shared" si="5"/>
        <v>1215</v>
      </c>
      <c r="U6" s="2">
        <f t="shared" si="0"/>
        <v>104.14285714285714</v>
      </c>
      <c r="V6" s="2">
        <f t="shared" si="0"/>
        <v>47.793928962603673</v>
      </c>
      <c r="W6" s="2">
        <f t="shared" si="0"/>
        <v>7.0875000000000004</v>
      </c>
      <c r="X6" s="2">
        <f t="shared" si="0"/>
        <v>17.935714285714287</v>
      </c>
    </row>
    <row r="7" spans="1:24" x14ac:dyDescent="0.45">
      <c r="B7" s="1">
        <v>1000</v>
      </c>
      <c r="C7" s="1">
        <v>30</v>
      </c>
      <c r="D7" s="1">
        <v>38</v>
      </c>
      <c r="E7" s="2">
        <f>D7/Q7-D7</f>
        <v>24.5</v>
      </c>
      <c r="F7" s="1">
        <v>1.2</v>
      </c>
      <c r="G7" s="1">
        <f t="shared" si="6"/>
        <v>5.6</v>
      </c>
      <c r="H7" s="1">
        <f t="shared" si="7"/>
        <v>74</v>
      </c>
      <c r="I7" s="1"/>
      <c r="J7" s="1">
        <f t="shared" si="1"/>
        <v>300</v>
      </c>
      <c r="K7" s="1">
        <f t="shared" si="2"/>
        <v>380</v>
      </c>
      <c r="L7" s="2">
        <f t="shared" si="3"/>
        <v>245</v>
      </c>
      <c r="M7" s="1">
        <f t="shared" si="4"/>
        <v>12</v>
      </c>
      <c r="N7" s="1">
        <f>$B7*G7/100</f>
        <v>56</v>
      </c>
      <c r="O7" s="1"/>
      <c r="P7" s="1"/>
      <c r="Q7" s="1">
        <f>($Q$8-$Q$3)/($B$8-$B$3)*(B7-$B$3)+$Q$3</f>
        <v>0.60799999999999998</v>
      </c>
      <c r="T7" s="2">
        <f t="shared" si="5"/>
        <v>1500</v>
      </c>
      <c r="U7" s="2">
        <f t="shared" si="0"/>
        <v>135.71428571428572</v>
      </c>
      <c r="V7" s="2">
        <f t="shared" si="0"/>
        <v>55.68181818181818</v>
      </c>
      <c r="W7" s="2">
        <f t="shared" si="0"/>
        <v>7.5</v>
      </c>
      <c r="X7" s="2">
        <f t="shared" si="0"/>
        <v>20</v>
      </c>
    </row>
    <row r="8" spans="1:24" x14ac:dyDescent="0.45">
      <c r="A8" t="s">
        <v>1</v>
      </c>
      <c r="B8" s="1">
        <v>1100</v>
      </c>
      <c r="C8" s="1">
        <v>30</v>
      </c>
      <c r="D8" s="1">
        <v>40</v>
      </c>
      <c r="E8" s="2">
        <f>D8/Q8-D8</f>
        <v>22.99212598425197</v>
      </c>
      <c r="F8" s="1">
        <v>1</v>
      </c>
      <c r="G8" s="1">
        <v>5</v>
      </c>
      <c r="H8" s="1">
        <v>75</v>
      </c>
      <c r="I8" s="1"/>
      <c r="J8" s="1">
        <f t="shared" si="1"/>
        <v>330</v>
      </c>
      <c r="K8" s="1">
        <f t="shared" si="2"/>
        <v>440</v>
      </c>
      <c r="L8" s="2">
        <f t="shared" si="3"/>
        <v>252.91338582677167</v>
      </c>
      <c r="M8" s="1">
        <f t="shared" si="4"/>
        <v>11</v>
      </c>
      <c r="N8" s="1">
        <f>$B8*G8/100</f>
        <v>55</v>
      </c>
      <c r="O8" s="1"/>
      <c r="P8" s="1"/>
      <c r="Q8" s="1">
        <v>0.63500000000000001</v>
      </c>
      <c r="T8" s="2">
        <f t="shared" si="5"/>
        <v>1815</v>
      </c>
      <c r="U8" s="2">
        <f t="shared" si="0"/>
        <v>172.85714285714286</v>
      </c>
      <c r="V8" s="2">
        <f t="shared" si="0"/>
        <v>63.228346456692925</v>
      </c>
      <c r="W8" s="2">
        <f t="shared" si="0"/>
        <v>7.5625</v>
      </c>
      <c r="X8" s="2">
        <f t="shared" si="0"/>
        <v>21.607142857142858</v>
      </c>
    </row>
    <row r="10" spans="1:24" x14ac:dyDescent="0.45">
      <c r="A10" t="s">
        <v>3</v>
      </c>
      <c r="T10">
        <v>2</v>
      </c>
      <c r="U10">
        <v>28</v>
      </c>
      <c r="V10">
        <v>44</v>
      </c>
      <c r="W10">
        <v>16</v>
      </c>
      <c r="X10">
        <v>28</v>
      </c>
    </row>
    <row r="11" spans="1:24" x14ac:dyDescent="0.45">
      <c r="A11" t="s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57EC74462D8C48B40669D40C1B8096" ma:contentTypeVersion="16" ma:contentTypeDescription="Create a new document." ma:contentTypeScope="" ma:versionID="cc4fe11f7ad0c2c53d5b592957969fe4">
  <xsd:schema xmlns:xsd="http://www.w3.org/2001/XMLSchema" xmlns:xs="http://www.w3.org/2001/XMLSchema" xmlns:p="http://schemas.microsoft.com/office/2006/metadata/properties" xmlns:ns2="85707d8f-37a6-40c3-bd75-04d282b88521" xmlns:ns3="cb081a01-b3e2-478b-a8ca-44322258aedd" targetNamespace="http://schemas.microsoft.com/office/2006/metadata/properties" ma:root="true" ma:fieldsID="286330f9a0e40a91db67743eb8b8e84e" ns2:_="" ns3:_="">
    <xsd:import namespace="85707d8f-37a6-40c3-bd75-04d282b88521"/>
    <xsd:import namespace="cb081a01-b3e2-478b-a8ca-44322258a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8f-37a6-40c3-bd75-04d282b88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786fc12-fcfd-4702-9d98-5bc1a3142c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81a01-b3e2-478b-a8ca-44322258ae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45ba28-0f33-4af4-b3d1-3ce5faf69f43}" ma:internalName="TaxCatchAll" ma:showField="CatchAllData" ma:web="cb081a01-b3e2-478b-a8ca-44322258a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8f-37a6-40c3-bd75-04d282b88521">
      <Terms xmlns="http://schemas.microsoft.com/office/infopath/2007/PartnerControls"/>
    </lcf76f155ced4ddcb4097134ff3c332f>
    <TaxCatchAll xmlns="cb081a01-b3e2-478b-a8ca-44322258aedd" xsi:nil="true"/>
  </documentManagement>
</p:properties>
</file>

<file path=customXml/itemProps1.xml><?xml version="1.0" encoding="utf-8"?>
<ds:datastoreItem xmlns:ds="http://schemas.openxmlformats.org/officeDocument/2006/customXml" ds:itemID="{7770C1D6-1784-4E7E-8412-5F251D2E24D1}"/>
</file>

<file path=customXml/itemProps2.xml><?xml version="1.0" encoding="utf-8"?>
<ds:datastoreItem xmlns:ds="http://schemas.openxmlformats.org/officeDocument/2006/customXml" ds:itemID="{EFBCC3C7-14DB-4E1B-8685-BF82D57858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26C003-8CBB-4A43-A91A-7DECE281EBF1}">
  <ds:schemaRefs>
    <ds:schemaRef ds:uri="http://purl.org/dc/elements/1.1/"/>
    <ds:schemaRef ds:uri="http://schemas.microsoft.com/office/2006/metadata/properties"/>
    <ds:schemaRef ds:uri="cb081a01-b3e2-478b-a8ca-44322258aedd"/>
    <ds:schemaRef ds:uri="85707d8f-37a6-40c3-bd75-04d282b8852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Olson</dc:creator>
  <cp:lastModifiedBy>Perez</cp:lastModifiedBy>
  <dcterms:created xsi:type="dcterms:W3CDTF">2018-12-05T21:49:40Z</dcterms:created>
  <dcterms:modified xsi:type="dcterms:W3CDTF">2018-12-20T21:15:51Z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0x0101007957EC74462D8C48B40669D40C1B8096</vt:lpwstr>
  </property>
</Properties>
</file>